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EN\Documents\"/>
    </mc:Choice>
  </mc:AlternateContent>
  <xr:revisionPtr revIDLastSave="0" documentId="13_ncr:1_{876E6E61-368E-490D-BFE6-28D6B22E90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ew_data" sheetId="4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4" l="1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3" i="4"/>
  <c r="W4" i="4"/>
  <c r="W5" i="4"/>
  <c r="W6" i="4"/>
  <c r="W7" i="4"/>
  <c r="W8" i="4"/>
  <c r="W9" i="4"/>
  <c r="W10" i="4"/>
  <c r="W11" i="4"/>
  <c r="W12" i="4"/>
  <c r="W13" i="4"/>
  <c r="W14" i="4"/>
  <c r="W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90" i="4"/>
  <c r="Q91" i="4"/>
  <c r="Q92" i="4"/>
  <c r="Q93" i="4"/>
  <c r="Q94" i="4"/>
  <c r="Q88" i="4"/>
  <c r="Q89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2" i="4"/>
  <c r="N2" i="4"/>
  <c r="N6" i="4" l="1"/>
  <c r="N7" i="4"/>
  <c r="N5" i="4"/>
  <c r="N8" i="4"/>
  <c r="N4" i="4"/>
  <c r="N3" i="4"/>
  <c r="N9" i="4"/>
</calcChain>
</file>

<file path=xl/sharedStrings.xml><?xml version="1.0" encoding="utf-8"?>
<sst xmlns="http://schemas.openxmlformats.org/spreadsheetml/2006/main" count="2651" uniqueCount="251">
  <si>
    <t>Employee_ID</t>
  </si>
  <si>
    <t>Employee_Name</t>
  </si>
  <si>
    <t>Country</t>
  </si>
  <si>
    <t>Department</t>
  </si>
  <si>
    <t>City</t>
  </si>
  <si>
    <t>Age</t>
  </si>
  <si>
    <t>Annual_Salary</t>
  </si>
  <si>
    <t>Employment_Type</t>
  </si>
  <si>
    <t>Grace Johnson</t>
  </si>
  <si>
    <t>Robert Okafor</t>
  </si>
  <si>
    <t>David Williams</t>
  </si>
  <si>
    <t>John Adams</t>
  </si>
  <si>
    <t>Kwame Smith</t>
  </si>
  <si>
    <t>Grace Brown</t>
  </si>
  <si>
    <t>Peter Owusu</t>
  </si>
  <si>
    <t>James Okafor</t>
  </si>
  <si>
    <t>Fatima Kamau</t>
  </si>
  <si>
    <t>Fatima Adams</t>
  </si>
  <si>
    <t>Samuel Brown</t>
  </si>
  <si>
    <t>Ama Miller</t>
  </si>
  <si>
    <t>John Kamau</t>
  </si>
  <si>
    <t xml:space="preserve"> David Mensah  </t>
  </si>
  <si>
    <t>Grace Miller</t>
  </si>
  <si>
    <t>Alice Smith</t>
  </si>
  <si>
    <t>David Brown</t>
  </si>
  <si>
    <t>Peter Okafor</t>
  </si>
  <si>
    <t>Grace Mensah</t>
  </si>
  <si>
    <t>Linda Adams</t>
  </si>
  <si>
    <t>Nana Miller</t>
  </si>
  <si>
    <t>Alice Mensah</t>
  </si>
  <si>
    <t>Emma Johnson</t>
  </si>
  <si>
    <t>David Mensah</t>
  </si>
  <si>
    <t>Sarah Owusu</t>
  </si>
  <si>
    <t>Robert Owusu</t>
  </si>
  <si>
    <t>Michael Okafor</t>
  </si>
  <si>
    <t>Alice Johnson</t>
  </si>
  <si>
    <t>Daniel Smith</t>
  </si>
  <si>
    <t>David Smith</t>
  </si>
  <si>
    <t>Grace Owusu</t>
  </si>
  <si>
    <t>Fatima Okafor</t>
  </si>
  <si>
    <t>Nana Mensah</t>
  </si>
  <si>
    <t>Emma Miller</t>
  </si>
  <si>
    <t>Samuel Johnson</t>
  </si>
  <si>
    <t>Fatima Owusu</t>
  </si>
  <si>
    <t>John Johnson</t>
  </si>
  <si>
    <t>Joseph Mensah</t>
  </si>
  <si>
    <t>Peter Williams</t>
  </si>
  <si>
    <t>Sarah Brown</t>
  </si>
  <si>
    <t>Mary Smith</t>
  </si>
  <si>
    <t>David Miller</t>
  </si>
  <si>
    <t>Fatima Miller</t>
  </si>
  <si>
    <t>Fatima Williams</t>
  </si>
  <si>
    <t>Samuel Mensah</t>
  </si>
  <si>
    <t>David Owusu</t>
  </si>
  <si>
    <t>Ama Johnson</t>
  </si>
  <si>
    <t>Robert Miller</t>
  </si>
  <si>
    <t>Kwame Williams</t>
  </si>
  <si>
    <t>Brian Brown</t>
  </si>
  <si>
    <t>James Smith</t>
  </si>
  <si>
    <t>Alice Adams</t>
  </si>
  <si>
    <t>John Owusu</t>
  </si>
  <si>
    <t>Mary Okafor</t>
  </si>
  <si>
    <t xml:space="preserve"> Robert Brown  </t>
  </si>
  <si>
    <t>Peter Johnson</t>
  </si>
  <si>
    <t>Michael Mensah</t>
  </si>
  <si>
    <t>Michael Owusu</t>
  </si>
  <si>
    <t>Sarah Mensah</t>
  </si>
  <si>
    <t>John Mensah</t>
  </si>
  <si>
    <t>Kwame Adams</t>
  </si>
  <si>
    <t>Emma Kamau</t>
  </si>
  <si>
    <t>Grace Kamau</t>
  </si>
  <si>
    <t xml:space="preserve"> Ama Smith  </t>
  </si>
  <si>
    <t>Emma Okafor</t>
  </si>
  <si>
    <t>Mary Miller</t>
  </si>
  <si>
    <t>David Okafor</t>
  </si>
  <si>
    <t>Brian Mensah</t>
  </si>
  <si>
    <t>Emma Owusu</t>
  </si>
  <si>
    <t>Robert Kamau</t>
  </si>
  <si>
    <t>Brian Williams</t>
  </si>
  <si>
    <t>Daniel Brown</t>
  </si>
  <si>
    <t>Linda Brown</t>
  </si>
  <si>
    <t>James Miller</t>
  </si>
  <si>
    <t>Michael Adams</t>
  </si>
  <si>
    <t>Michael Williams</t>
  </si>
  <si>
    <t>Daniel Owusu</t>
  </si>
  <si>
    <t>Fatima Brown</t>
  </si>
  <si>
    <t>James Mensah</t>
  </si>
  <si>
    <t>Daniel Mensah</t>
  </si>
  <si>
    <t>Alice Brown</t>
  </si>
  <si>
    <t>Peter Miller</t>
  </si>
  <si>
    <t>Sarah Williams</t>
  </si>
  <si>
    <t>Sarah Johnson</t>
  </si>
  <si>
    <t>Robert Mensah</t>
  </si>
  <si>
    <t>Kwame Mensah</t>
  </si>
  <si>
    <t>Sarah Smith</t>
  </si>
  <si>
    <t>Mary Kamau</t>
  </si>
  <si>
    <t>Emma Adams</t>
  </si>
  <si>
    <t xml:space="preserve"> Emma Adams  </t>
  </si>
  <si>
    <t>Mary Mensah</t>
  </si>
  <si>
    <t>Nana Kamau</t>
  </si>
  <si>
    <t>Ama Adams</t>
  </si>
  <si>
    <t>Brian Miller</t>
  </si>
  <si>
    <t>Samuel Kamau</t>
  </si>
  <si>
    <t>Nana Adams</t>
  </si>
  <si>
    <t>John Brown</t>
  </si>
  <si>
    <t>Michael Kamau</t>
  </si>
  <si>
    <t>Linda Johnson</t>
  </si>
  <si>
    <t>Kwame Brown</t>
  </si>
  <si>
    <t>Daniel Okafor</t>
  </si>
  <si>
    <t>Linda Miller</t>
  </si>
  <si>
    <t>Samuel Miller</t>
  </si>
  <si>
    <t>Robert Adams</t>
  </si>
  <si>
    <t>Samuel Okafor</t>
  </si>
  <si>
    <t xml:space="preserve"> James Mensah  </t>
  </si>
  <si>
    <t>Samuel Smith</t>
  </si>
  <si>
    <t xml:space="preserve"> Michael Williams  </t>
  </si>
  <si>
    <t>Daniel Johnson</t>
  </si>
  <si>
    <t>James Johnson</t>
  </si>
  <si>
    <t>Michael Johnson</t>
  </si>
  <si>
    <t>Kwame Kamau</t>
  </si>
  <si>
    <t>Linda Okafor</t>
  </si>
  <si>
    <t>John Williams</t>
  </si>
  <si>
    <t>Emma Brown</t>
  </si>
  <si>
    <t>Nana Williams</t>
  </si>
  <si>
    <t>Ama Okafor</t>
  </si>
  <si>
    <t>Samuel Williams</t>
  </si>
  <si>
    <t>David Kamau</t>
  </si>
  <si>
    <t>Alice Williams</t>
  </si>
  <si>
    <t>John Okafor</t>
  </si>
  <si>
    <t>Brian Johnson</t>
  </si>
  <si>
    <t>Brian Smith</t>
  </si>
  <si>
    <t>Sarah Miller</t>
  </si>
  <si>
    <t>Joseph Brown</t>
  </si>
  <si>
    <t>Samuel Owusu</t>
  </si>
  <si>
    <t>Joseph Adams</t>
  </si>
  <si>
    <t>John Smith</t>
  </si>
  <si>
    <t>Sarah Okafor</t>
  </si>
  <si>
    <t xml:space="preserve"> Michael Johnson  </t>
  </si>
  <si>
    <t>Linda Owusu</t>
  </si>
  <si>
    <t>Grace Smith</t>
  </si>
  <si>
    <t>Joseph Kamau</t>
  </si>
  <si>
    <t>Mary Williams</t>
  </si>
  <si>
    <t>Fatima Johnson</t>
  </si>
  <si>
    <t>Brian Okafor</t>
  </si>
  <si>
    <t>Ama Owusu</t>
  </si>
  <si>
    <t>Kwame Owusu</t>
  </si>
  <si>
    <t>Peter Kamau</t>
  </si>
  <si>
    <t>Emma Mensah</t>
  </si>
  <si>
    <t>Alice Owusu</t>
  </si>
  <si>
    <t>Emma Smith</t>
  </si>
  <si>
    <t>Mary Adams</t>
  </si>
  <si>
    <t>Joseph Owusu</t>
  </si>
  <si>
    <t>Sarah Kamau</t>
  </si>
  <si>
    <t>Kwame Johnson</t>
  </si>
  <si>
    <t>Ama Mensah</t>
  </si>
  <si>
    <t>Ama Smith</t>
  </si>
  <si>
    <t>Nana Okafor</t>
  </si>
  <si>
    <t>Brian Kamau</t>
  </si>
  <si>
    <t xml:space="preserve"> Nana Williams  </t>
  </si>
  <si>
    <t>James Owusu</t>
  </si>
  <si>
    <t xml:space="preserve"> David Johnson  </t>
  </si>
  <si>
    <t>Emma Williams</t>
  </si>
  <si>
    <t>Linda Mensah</t>
  </si>
  <si>
    <t>James Williams</t>
  </si>
  <si>
    <t>Fatima Mensah</t>
  </si>
  <si>
    <t>Peter Adams</t>
  </si>
  <si>
    <t xml:space="preserve"> Brian Kamau  </t>
  </si>
  <si>
    <t>David Adams</t>
  </si>
  <si>
    <t>Samuel  Miller</t>
  </si>
  <si>
    <t>Emma  Smith</t>
  </si>
  <si>
    <t>Fatima  Okafor</t>
  </si>
  <si>
    <t>Emma  Johnson</t>
  </si>
  <si>
    <t>John  Owusu</t>
  </si>
  <si>
    <t>south africa</t>
  </si>
  <si>
    <t>KEN</t>
  </si>
  <si>
    <t xml:space="preserve"> Ghana </t>
  </si>
  <si>
    <t>Nigeria</t>
  </si>
  <si>
    <t>South Africa</t>
  </si>
  <si>
    <t>Kenya</t>
  </si>
  <si>
    <t>kenya</t>
  </si>
  <si>
    <t>GHA</t>
  </si>
  <si>
    <t>NGA</t>
  </si>
  <si>
    <t>ZAF</t>
  </si>
  <si>
    <t>nigeria</t>
  </si>
  <si>
    <t>GHANA</t>
  </si>
  <si>
    <t>Ghana</t>
  </si>
  <si>
    <t>ghana</t>
  </si>
  <si>
    <t>it</t>
  </si>
  <si>
    <t>sales</t>
  </si>
  <si>
    <t>operations</t>
  </si>
  <si>
    <t>hr</t>
  </si>
  <si>
    <t>finance</t>
  </si>
  <si>
    <t>marketing</t>
  </si>
  <si>
    <t>Operations</t>
  </si>
  <si>
    <t>Finance</t>
  </si>
  <si>
    <t>SALES</t>
  </si>
  <si>
    <t>HR</t>
  </si>
  <si>
    <t>IT</t>
  </si>
  <si>
    <t>Sales</t>
  </si>
  <si>
    <t>Marketing</t>
  </si>
  <si>
    <t>lagos</t>
  </si>
  <si>
    <t>johannesburg</t>
  </si>
  <si>
    <t>kumasi</t>
  </si>
  <si>
    <t>accra</t>
  </si>
  <si>
    <t>nairobi</t>
  </si>
  <si>
    <t>tema</t>
  </si>
  <si>
    <t>Tema</t>
  </si>
  <si>
    <t>Accra</t>
  </si>
  <si>
    <t>Kumasi</t>
  </si>
  <si>
    <t>Johannesburg</t>
  </si>
  <si>
    <t>Nairobi</t>
  </si>
  <si>
    <t>Lagos</t>
  </si>
  <si>
    <t>65k</t>
  </si>
  <si>
    <t>$90,000</t>
  </si>
  <si>
    <t>40k</t>
  </si>
  <si>
    <t>$65,000</t>
  </si>
  <si>
    <t>N/A</t>
  </si>
  <si>
    <t>$30,000</t>
  </si>
  <si>
    <t>65000 USD</t>
  </si>
  <si>
    <t>50k</t>
  </si>
  <si>
    <t>35k</t>
  </si>
  <si>
    <t>90k</t>
  </si>
  <si>
    <t>50000 USD</t>
  </si>
  <si>
    <t>$60,000</t>
  </si>
  <si>
    <t>full-time</t>
  </si>
  <si>
    <t>Intern</t>
  </si>
  <si>
    <t>FULL TIME</t>
  </si>
  <si>
    <t>Part-Time</t>
  </si>
  <si>
    <t>part-time</t>
  </si>
  <si>
    <t>Contract</t>
  </si>
  <si>
    <t>Full-Time</t>
  </si>
  <si>
    <t>contract</t>
  </si>
  <si>
    <t>missing</t>
  </si>
  <si>
    <t>employee_id</t>
  </si>
  <si>
    <t>employee_name</t>
  </si>
  <si>
    <t>country</t>
  </si>
  <si>
    <t>department</t>
  </si>
  <si>
    <t>city</t>
  </si>
  <si>
    <t>age</t>
  </si>
  <si>
    <t>annual_salary</t>
  </si>
  <si>
    <t>employment_type</t>
  </si>
  <si>
    <t>Cleaned_Employee_id</t>
  </si>
  <si>
    <t>Cleaned_Employee_name</t>
  </si>
  <si>
    <t>Raw_data</t>
  </si>
  <si>
    <t>Standard_data</t>
  </si>
  <si>
    <t>Cleaned_Country</t>
  </si>
  <si>
    <t>Cleaned_department</t>
  </si>
  <si>
    <t>Cleaned_age</t>
  </si>
  <si>
    <t>Cleaned_city</t>
  </si>
  <si>
    <t>Cleaned_Employment_Type</t>
  </si>
  <si>
    <t>Claned_salary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</si>
</sst>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5512-00F4-453C-A02A-E6BF65DBBA59}">
  <dimension ref="A1:AC256"/>
  <sheetViews>
    <sheetView tabSelected="1" workbookViewId="0">
      <selection activeCell="M13" sqref="M13"/>
    </sheetView>
  </sheetViews>
  <sheetFormatPr defaultRowHeight="14.4" x14ac:dyDescent="0.3"/>
  <cols>
    <col min="1" max="1" width="12.109375" bestFit="1" customWidth="1"/>
    <col min="2" max="2" width="16.21875" bestFit="1" customWidth="1"/>
    <col min="3" max="3" width="10.88671875" bestFit="1" customWidth="1"/>
    <col min="4" max="4" width="11.109375" bestFit="1" customWidth="1"/>
    <col min="7" max="7" width="13.21875" bestFit="1" customWidth="1"/>
    <col min="8" max="8" width="17" bestFit="1" customWidth="1"/>
    <col min="10" max="10" width="13.88671875" bestFit="1" customWidth="1"/>
    <col min="12" max="13" width="15.88671875" bestFit="1" customWidth="1"/>
    <col min="15" max="15" width="17.21875" bestFit="1" customWidth="1"/>
    <col min="16" max="16" width="19.21875" bestFit="1" customWidth="1"/>
    <col min="17" max="17" width="22.44140625" bestFit="1" customWidth="1"/>
    <col min="18" max="18" width="15.109375" bestFit="1" customWidth="1"/>
    <col min="19" max="19" width="18.33203125" bestFit="1" customWidth="1"/>
    <col min="20" max="20" width="12.88671875" bestFit="1" customWidth="1"/>
    <col min="21" max="21" width="11.77734375" bestFit="1" customWidth="1"/>
    <col min="22" max="22" width="12.6640625" bestFit="1" customWidth="1"/>
    <col min="23" max="23" width="25" bestFit="1" customWidth="1"/>
    <col min="26" max="26" width="12.886718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/>
      <c r="L1" s="3"/>
      <c r="M1" s="4"/>
      <c r="N1" s="4" t="s">
        <v>232</v>
      </c>
      <c r="P1" s="4" t="s">
        <v>241</v>
      </c>
      <c r="Q1" s="4" t="s">
        <v>242</v>
      </c>
      <c r="R1" s="4" t="s">
        <v>245</v>
      </c>
      <c r="S1" s="4" t="s">
        <v>246</v>
      </c>
      <c r="T1" s="4" t="s">
        <v>248</v>
      </c>
      <c r="U1" s="4" t="s">
        <v>247</v>
      </c>
      <c r="V1" s="4" t="s">
        <v>250</v>
      </c>
      <c r="W1" s="4" t="s">
        <v>249</v>
      </c>
      <c r="AB1" t="s">
        <v>243</v>
      </c>
      <c r="AC1" t="s">
        <v>244</v>
      </c>
    </row>
    <row r="2" spans="1:29" x14ac:dyDescent="0.3">
      <c r="A2">
        <v>10001</v>
      </c>
      <c r="B2" t="s">
        <v>8</v>
      </c>
      <c r="C2" t="s">
        <v>173</v>
      </c>
      <c r="D2" t="s">
        <v>187</v>
      </c>
      <c r="E2" t="s">
        <v>200</v>
      </c>
      <c r="F2">
        <v>40</v>
      </c>
      <c r="G2">
        <v>60000</v>
      </c>
      <c r="H2" t="s">
        <v>224</v>
      </c>
      <c r="M2" s="4" t="s">
        <v>233</v>
      </c>
      <c r="N2">
        <f>COUNTIF(A2:A256,"")</f>
        <v>3</v>
      </c>
      <c r="P2">
        <v>10001</v>
      </c>
      <c r="Q2" t="str">
        <f>PROPER(TRIM(B2))</f>
        <v>Grace Johnson</v>
      </c>
      <c r="R2" t="str">
        <f>_xlfn.XLOOKUP(C2,$AB$2:$AB$5,$AC$2:$AC$5,PROPER(TRIM(C2)))</f>
        <v>South Africa</v>
      </c>
      <c r="S2" t="str">
        <f>PROPER(TRIM(D2))</f>
        <v>It</v>
      </c>
      <c r="T2" t="str">
        <f>PROPER(TRIM(E2))</f>
        <v>Lagos</v>
      </c>
      <c r="U2" t="str">
        <f>TRIM(F2)</f>
        <v>40</v>
      </c>
      <c r="V2">
        <f>IF(OR(G2="N/A",G2=""),"",IF(ISNUMBER(G2),G2,IF(RIGHT(G2,1)="k",VALUE(SUBSTITUTE(G2,"k",""))*1000,VALUE(SUBSTITUTE(SUBSTITUTE(G2,"$",""),",","")))))</f>
        <v>60000</v>
      </c>
      <c r="W2" t="str">
        <f>PROPER(TRIM(H2))</f>
        <v>Full-Time</v>
      </c>
      <c r="AB2" t="s">
        <v>180</v>
      </c>
      <c r="AC2" t="s">
        <v>185</v>
      </c>
    </row>
    <row r="3" spans="1:29" x14ac:dyDescent="0.3">
      <c r="A3">
        <v>10002</v>
      </c>
      <c r="B3" t="s">
        <v>9</v>
      </c>
      <c r="C3" t="s">
        <v>174</v>
      </c>
      <c r="D3" t="s">
        <v>187</v>
      </c>
      <c r="E3" t="s">
        <v>200</v>
      </c>
      <c r="F3">
        <v>55</v>
      </c>
      <c r="G3">
        <v>65000</v>
      </c>
      <c r="H3" t="s">
        <v>225</v>
      </c>
      <c r="M3" s="4" t="s">
        <v>234</v>
      </c>
      <c r="N3">
        <f>COUNTIF(Q2:Q256,"")</f>
        <v>0</v>
      </c>
      <c r="P3">
        <v>10002</v>
      </c>
      <c r="Q3" t="str">
        <f t="shared" ref="Q3:Q66" si="0">PROPER(TRIM(B3))</f>
        <v>Robert Okafor</v>
      </c>
      <c r="R3" t="str">
        <f>_xlfn.XLOOKUP(C3,$AB$2:$AB$5,$AC$2:$AC$5,PROPER(TRIM(C3)))</f>
        <v>Kenya</v>
      </c>
      <c r="S3" t="str">
        <f t="shared" ref="S3:S66" si="1">PROPER(TRIM(D3))</f>
        <v>It</v>
      </c>
      <c r="T3" t="str">
        <f t="shared" ref="T3:T66" si="2">PROPER(TRIM(E3))</f>
        <v>Lagos</v>
      </c>
      <c r="U3" t="str">
        <f t="shared" ref="U3:U66" si="3">TRIM(F3)</f>
        <v>55</v>
      </c>
      <c r="V3">
        <f t="shared" ref="V3:V66" si="4">IF(OR(G3="N/A",G3=""),"",IF(ISNUMBER(G3),G3,IF(RIGHT(G3,1)="k",VALUE(SUBSTITUTE(G3,"k",""))*1000,VALUE(SUBSTITUTE(SUBSTITUTE(G3,"$",""),",","")))))</f>
        <v>65000</v>
      </c>
      <c r="W3" t="str">
        <f t="shared" ref="W3:W66" si="5">PROPER(TRIM(H3))</f>
        <v>Intern</v>
      </c>
      <c r="AB3" t="s">
        <v>174</v>
      </c>
      <c r="AC3" t="s">
        <v>178</v>
      </c>
    </row>
    <row r="4" spans="1:29" x14ac:dyDescent="0.3">
      <c r="A4">
        <v>10003</v>
      </c>
      <c r="B4" t="s">
        <v>10</v>
      </c>
      <c r="C4" t="s">
        <v>175</v>
      </c>
      <c r="D4" t="s">
        <v>188</v>
      </c>
      <c r="F4">
        <v>49</v>
      </c>
      <c r="G4">
        <v>55000</v>
      </c>
      <c r="H4" t="s">
        <v>224</v>
      </c>
      <c r="M4" s="4" t="s">
        <v>235</v>
      </c>
      <c r="N4">
        <f>COUNTIF(R2:R256,"")</f>
        <v>0</v>
      </c>
      <c r="P4">
        <v>10003</v>
      </c>
      <c r="Q4" t="str">
        <f t="shared" si="0"/>
        <v>David Williams</v>
      </c>
      <c r="R4" t="str">
        <f>_xlfn.XLOOKUP(C4,$AB$2:$AB$5,$AC$2:$AC$5,PROPER(TRIM(C4)))</f>
        <v>Ghana</v>
      </c>
      <c r="S4" t="str">
        <f t="shared" si="1"/>
        <v>Sales</v>
      </c>
      <c r="T4" t="str">
        <f t="shared" si="2"/>
        <v/>
      </c>
      <c r="U4" t="str">
        <f t="shared" si="3"/>
        <v>49</v>
      </c>
      <c r="V4">
        <f t="shared" si="4"/>
        <v>55000</v>
      </c>
      <c r="W4" t="str">
        <f t="shared" si="5"/>
        <v>Full-Time</v>
      </c>
      <c r="AB4" t="s">
        <v>181</v>
      </c>
      <c r="AC4" t="s">
        <v>176</v>
      </c>
    </row>
    <row r="5" spans="1:29" x14ac:dyDescent="0.3">
      <c r="A5">
        <v>10004</v>
      </c>
      <c r="B5" t="s">
        <v>11</v>
      </c>
      <c r="C5" t="s">
        <v>176</v>
      </c>
      <c r="D5" t="s">
        <v>189</v>
      </c>
      <c r="E5" t="s">
        <v>201</v>
      </c>
      <c r="F5">
        <v>44</v>
      </c>
      <c r="G5">
        <v>30000</v>
      </c>
      <c r="H5" t="s">
        <v>226</v>
      </c>
      <c r="M5" s="4" t="s">
        <v>236</v>
      </c>
      <c r="N5">
        <f>COUNTIF(S2:S256,"")</f>
        <v>4</v>
      </c>
      <c r="P5">
        <v>10004</v>
      </c>
      <c r="Q5" t="str">
        <f t="shared" si="0"/>
        <v>John Adams</v>
      </c>
      <c r="R5" t="str">
        <f>_xlfn.XLOOKUP(C5,$AB$2:$AB$5,$AC$2:$AC$5,PROPER(TRIM(C5)))</f>
        <v>Nigeria</v>
      </c>
      <c r="S5" t="str">
        <f t="shared" si="1"/>
        <v>Operations</v>
      </c>
      <c r="T5" t="str">
        <f t="shared" si="2"/>
        <v>Johannesburg</v>
      </c>
      <c r="U5" t="str">
        <f t="shared" si="3"/>
        <v>44</v>
      </c>
      <c r="V5">
        <f t="shared" si="4"/>
        <v>30000</v>
      </c>
      <c r="W5" t="str">
        <f t="shared" si="5"/>
        <v>Full Time</v>
      </c>
      <c r="AB5" t="s">
        <v>182</v>
      </c>
      <c r="AC5" t="s">
        <v>177</v>
      </c>
    </row>
    <row r="6" spans="1:29" x14ac:dyDescent="0.3">
      <c r="A6">
        <v>10005</v>
      </c>
      <c r="B6" t="s">
        <v>12</v>
      </c>
      <c r="C6" t="s">
        <v>177</v>
      </c>
      <c r="D6" t="s">
        <v>190</v>
      </c>
      <c r="E6" t="s">
        <v>202</v>
      </c>
      <c r="F6">
        <v>22</v>
      </c>
      <c r="G6">
        <v>50000</v>
      </c>
      <c r="H6" t="s">
        <v>226</v>
      </c>
      <c r="M6" s="4" t="s">
        <v>237</v>
      </c>
      <c r="N6">
        <f>COUNTIF(T2:T256,"")</f>
        <v>5</v>
      </c>
      <c r="P6">
        <v>10005</v>
      </c>
      <c r="Q6" t="str">
        <f t="shared" si="0"/>
        <v>Kwame Smith</v>
      </c>
      <c r="R6" t="str">
        <f>_xlfn.XLOOKUP(C6,$AB$2:$AB$5,$AC$2:$AC$5,PROPER(TRIM(C6)))</f>
        <v>South Africa</v>
      </c>
      <c r="S6" t="str">
        <f t="shared" si="1"/>
        <v>Hr</v>
      </c>
      <c r="T6" t="str">
        <f t="shared" si="2"/>
        <v>Kumasi</v>
      </c>
      <c r="U6" t="str">
        <f t="shared" si="3"/>
        <v>22</v>
      </c>
      <c r="V6">
        <f t="shared" si="4"/>
        <v>50000</v>
      </c>
      <c r="W6" t="str">
        <f t="shared" si="5"/>
        <v>Full Time</v>
      </c>
    </row>
    <row r="7" spans="1:29" x14ac:dyDescent="0.3">
      <c r="A7">
        <v>10006</v>
      </c>
      <c r="B7" t="s">
        <v>13</v>
      </c>
      <c r="C7" t="s">
        <v>178</v>
      </c>
      <c r="D7" t="s">
        <v>190</v>
      </c>
      <c r="E7" t="s">
        <v>203</v>
      </c>
      <c r="F7">
        <v>23</v>
      </c>
      <c r="G7">
        <v>70000</v>
      </c>
      <c r="H7" t="s">
        <v>227</v>
      </c>
      <c r="M7" s="4" t="s">
        <v>238</v>
      </c>
      <c r="N7">
        <f>COUNTIF(U2:U256,"")</f>
        <v>7</v>
      </c>
      <c r="P7">
        <v>10006</v>
      </c>
      <c r="Q7" t="str">
        <f t="shared" si="0"/>
        <v>Grace Brown</v>
      </c>
      <c r="R7" t="str">
        <f>_xlfn.XLOOKUP(C7,$AB$2:$AB$5,$AC$2:$AC$5,PROPER(TRIM(C7)))</f>
        <v>Kenya</v>
      </c>
      <c r="S7" t="str">
        <f t="shared" si="1"/>
        <v>Hr</v>
      </c>
      <c r="T7" t="str">
        <f t="shared" si="2"/>
        <v>Accra</v>
      </c>
      <c r="U7" t="str">
        <f t="shared" si="3"/>
        <v>23</v>
      </c>
      <c r="V7">
        <f t="shared" si="4"/>
        <v>70000</v>
      </c>
      <c r="W7" t="str">
        <f t="shared" si="5"/>
        <v>Part-Time</v>
      </c>
    </row>
    <row r="8" spans="1:29" x14ac:dyDescent="0.3">
      <c r="A8">
        <v>10007</v>
      </c>
      <c r="B8" t="s">
        <v>14</v>
      </c>
      <c r="C8" t="s">
        <v>179</v>
      </c>
      <c r="D8" t="s">
        <v>191</v>
      </c>
      <c r="E8" t="s">
        <v>204</v>
      </c>
      <c r="G8">
        <v>45000</v>
      </c>
      <c r="H8" t="s">
        <v>227</v>
      </c>
      <c r="M8" s="4" t="s">
        <v>239</v>
      </c>
      <c r="N8">
        <f>COUNTIF(V2:V256,"")</f>
        <v>12</v>
      </c>
      <c r="P8">
        <v>10007</v>
      </c>
      <c r="Q8" t="str">
        <f t="shared" si="0"/>
        <v>Peter Owusu</v>
      </c>
      <c r="R8" t="str">
        <f>_xlfn.XLOOKUP(C8,$AB$2:$AB$5,$AC$2:$AC$5,PROPER(TRIM(C8)))</f>
        <v>Kenya</v>
      </c>
      <c r="S8" t="str">
        <f t="shared" si="1"/>
        <v>Finance</v>
      </c>
      <c r="T8" t="str">
        <f t="shared" si="2"/>
        <v>Nairobi</v>
      </c>
      <c r="U8" t="str">
        <f t="shared" si="3"/>
        <v/>
      </c>
      <c r="V8">
        <f t="shared" si="4"/>
        <v>45000</v>
      </c>
      <c r="W8" t="str">
        <f t="shared" si="5"/>
        <v>Part-Time</v>
      </c>
    </row>
    <row r="9" spans="1:29" x14ac:dyDescent="0.3">
      <c r="A9">
        <v>10008</v>
      </c>
      <c r="B9" t="s">
        <v>15</v>
      </c>
      <c r="C9" t="s">
        <v>177</v>
      </c>
      <c r="D9" t="s">
        <v>189</v>
      </c>
      <c r="E9" t="s">
        <v>200</v>
      </c>
      <c r="F9">
        <v>54</v>
      </c>
      <c r="G9">
        <v>30000</v>
      </c>
      <c r="H9" t="s">
        <v>227</v>
      </c>
      <c r="M9" s="4" t="s">
        <v>240</v>
      </c>
      <c r="N9">
        <f>COUNTIF(W2:W256,"")</f>
        <v>0</v>
      </c>
      <c r="P9">
        <v>10008</v>
      </c>
      <c r="Q9" t="str">
        <f t="shared" si="0"/>
        <v>James Okafor</v>
      </c>
      <c r="R9" t="str">
        <f>_xlfn.XLOOKUP(C9,$AB$2:$AB$5,$AC$2:$AC$5,PROPER(TRIM(C9)))</f>
        <v>South Africa</v>
      </c>
      <c r="S9" t="str">
        <f t="shared" si="1"/>
        <v>Operations</v>
      </c>
      <c r="T9" t="str">
        <f t="shared" si="2"/>
        <v>Lagos</v>
      </c>
      <c r="U9" t="str">
        <f t="shared" si="3"/>
        <v>54</v>
      </c>
      <c r="V9">
        <f t="shared" si="4"/>
        <v>30000</v>
      </c>
      <c r="W9" t="str">
        <f t="shared" si="5"/>
        <v>Part-Time</v>
      </c>
    </row>
    <row r="10" spans="1:29" x14ac:dyDescent="0.3">
      <c r="A10">
        <v>10009</v>
      </c>
      <c r="B10" t="s">
        <v>16</v>
      </c>
      <c r="C10" t="s">
        <v>180</v>
      </c>
      <c r="D10" t="s">
        <v>188</v>
      </c>
      <c r="E10" t="s">
        <v>205</v>
      </c>
      <c r="F10">
        <v>23</v>
      </c>
      <c r="G10">
        <v>55000</v>
      </c>
      <c r="H10" t="s">
        <v>228</v>
      </c>
      <c r="P10">
        <v>10009</v>
      </c>
      <c r="Q10" t="str">
        <f t="shared" si="0"/>
        <v>Fatima Kamau</v>
      </c>
      <c r="R10" t="str">
        <f>_xlfn.XLOOKUP(C10,$AB$2:$AB$5,$AC$2:$AC$5,PROPER(TRIM(C10)))</f>
        <v>Ghana</v>
      </c>
      <c r="S10" t="str">
        <f t="shared" si="1"/>
        <v>Sales</v>
      </c>
      <c r="T10" t="str">
        <f t="shared" si="2"/>
        <v>Tema</v>
      </c>
      <c r="U10" t="str">
        <f t="shared" si="3"/>
        <v>23</v>
      </c>
      <c r="V10">
        <f t="shared" si="4"/>
        <v>55000</v>
      </c>
      <c r="W10" t="str">
        <f t="shared" si="5"/>
        <v>Part-Time</v>
      </c>
    </row>
    <row r="11" spans="1:29" x14ac:dyDescent="0.3">
      <c r="A11">
        <v>10010</v>
      </c>
      <c r="B11" t="s">
        <v>17</v>
      </c>
      <c r="C11" t="s">
        <v>177</v>
      </c>
      <c r="D11" t="s">
        <v>188</v>
      </c>
      <c r="E11" t="s">
        <v>204</v>
      </c>
      <c r="F11">
        <v>55</v>
      </c>
      <c r="G11" t="s">
        <v>212</v>
      </c>
      <c r="H11" t="s">
        <v>229</v>
      </c>
      <c r="M11" s="4"/>
      <c r="P11">
        <v>10010</v>
      </c>
      <c r="Q11" t="str">
        <f t="shared" si="0"/>
        <v>Fatima Adams</v>
      </c>
      <c r="R11" t="str">
        <f>_xlfn.XLOOKUP(C11,$AB$2:$AB$5,$AC$2:$AC$5,PROPER(TRIM(C11)))</f>
        <v>South Africa</v>
      </c>
      <c r="S11" t="str">
        <f t="shared" si="1"/>
        <v>Sales</v>
      </c>
      <c r="T11" t="str">
        <f t="shared" si="2"/>
        <v>Nairobi</v>
      </c>
      <c r="U11" t="str">
        <f t="shared" si="3"/>
        <v>55</v>
      </c>
      <c r="V11">
        <f t="shared" si="4"/>
        <v>65000</v>
      </c>
      <c r="W11" t="str">
        <f t="shared" si="5"/>
        <v>Contract</v>
      </c>
    </row>
    <row r="12" spans="1:29" x14ac:dyDescent="0.3">
      <c r="A12">
        <v>10011</v>
      </c>
      <c r="B12" t="s">
        <v>18</v>
      </c>
      <c r="C12" t="s">
        <v>173</v>
      </c>
      <c r="D12" t="s">
        <v>188</v>
      </c>
      <c r="E12" t="s">
        <v>206</v>
      </c>
      <c r="F12">
        <v>43</v>
      </c>
      <c r="G12">
        <v>80000</v>
      </c>
      <c r="H12" t="s">
        <v>230</v>
      </c>
      <c r="P12">
        <v>10011</v>
      </c>
      <c r="Q12" t="str">
        <f t="shared" si="0"/>
        <v>Samuel Brown</v>
      </c>
      <c r="R12" t="str">
        <f>_xlfn.XLOOKUP(C12,$AB$2:$AB$5,$AC$2:$AC$5,PROPER(TRIM(C12)))</f>
        <v>South Africa</v>
      </c>
      <c r="S12" t="str">
        <f t="shared" si="1"/>
        <v>Sales</v>
      </c>
      <c r="T12" t="str">
        <f t="shared" si="2"/>
        <v>Tema</v>
      </c>
      <c r="U12" t="str">
        <f t="shared" si="3"/>
        <v>43</v>
      </c>
      <c r="V12">
        <f t="shared" si="4"/>
        <v>80000</v>
      </c>
      <c r="W12" t="str">
        <f t="shared" si="5"/>
        <v>Full-Time</v>
      </c>
    </row>
    <row r="13" spans="1:29" x14ac:dyDescent="0.3">
      <c r="A13">
        <v>10012</v>
      </c>
      <c r="B13" t="s">
        <v>19</v>
      </c>
      <c r="C13" t="s">
        <v>173</v>
      </c>
      <c r="D13" t="s">
        <v>189</v>
      </c>
      <c r="E13" t="s">
        <v>207</v>
      </c>
      <c r="F13">
        <v>44</v>
      </c>
      <c r="G13">
        <v>60000</v>
      </c>
      <c r="H13" t="s">
        <v>230</v>
      </c>
      <c r="P13">
        <v>10012</v>
      </c>
      <c r="Q13" t="str">
        <f t="shared" si="0"/>
        <v>Ama Miller</v>
      </c>
      <c r="R13" t="str">
        <f>_xlfn.XLOOKUP(C13,$AB$2:$AB$5,$AC$2:$AC$5,PROPER(TRIM(C13)))</f>
        <v>South Africa</v>
      </c>
      <c r="S13" t="str">
        <f t="shared" si="1"/>
        <v>Operations</v>
      </c>
      <c r="T13" t="str">
        <f t="shared" si="2"/>
        <v>Accra</v>
      </c>
      <c r="U13" t="str">
        <f t="shared" si="3"/>
        <v>44</v>
      </c>
      <c r="V13">
        <f t="shared" si="4"/>
        <v>60000</v>
      </c>
      <c r="W13" t="str">
        <f t="shared" si="5"/>
        <v>Full-Time</v>
      </c>
    </row>
    <row r="14" spans="1:29" x14ac:dyDescent="0.3">
      <c r="A14">
        <v>10013</v>
      </c>
      <c r="B14" t="s">
        <v>20</v>
      </c>
      <c r="C14" t="s">
        <v>181</v>
      </c>
      <c r="D14" t="s">
        <v>187</v>
      </c>
      <c r="E14" t="s">
        <v>208</v>
      </c>
      <c r="F14">
        <v>36</v>
      </c>
      <c r="G14">
        <v>65000</v>
      </c>
      <c r="H14" t="s">
        <v>226</v>
      </c>
      <c r="P14">
        <v>10013</v>
      </c>
      <c r="Q14" t="str">
        <f t="shared" si="0"/>
        <v>John Kamau</v>
      </c>
      <c r="R14" t="str">
        <f>_xlfn.XLOOKUP(C14,$AB$2:$AB$5,$AC$2:$AC$5,PROPER(TRIM(C14)))</f>
        <v>Nigeria</v>
      </c>
      <c r="S14" t="str">
        <f t="shared" si="1"/>
        <v>It</v>
      </c>
      <c r="T14" t="str">
        <f t="shared" si="2"/>
        <v>Kumasi</v>
      </c>
      <c r="U14" t="str">
        <f t="shared" si="3"/>
        <v>36</v>
      </c>
      <c r="V14">
        <f t="shared" si="4"/>
        <v>65000</v>
      </c>
      <c r="W14" t="str">
        <f t="shared" si="5"/>
        <v>Full Time</v>
      </c>
    </row>
    <row r="15" spans="1:29" x14ac:dyDescent="0.3">
      <c r="A15">
        <v>10014</v>
      </c>
      <c r="B15" t="s">
        <v>21</v>
      </c>
      <c r="C15" t="s">
        <v>174</v>
      </c>
      <c r="D15" t="s">
        <v>192</v>
      </c>
      <c r="E15" t="s">
        <v>204</v>
      </c>
      <c r="F15">
        <v>58</v>
      </c>
      <c r="G15">
        <v>80000</v>
      </c>
      <c r="H15" t="s">
        <v>230</v>
      </c>
      <c r="P15">
        <v>10014</v>
      </c>
      <c r="Q15" t="str">
        <f t="shared" si="0"/>
        <v>David Mensah</v>
      </c>
      <c r="R15" t="str">
        <f>_xlfn.XLOOKUP(C15,$AB$2:$AB$5,$AC$2:$AC$5,PROPER(TRIM(C15)))</f>
        <v>Kenya</v>
      </c>
      <c r="S15" t="str">
        <f t="shared" si="1"/>
        <v>Marketing</v>
      </c>
      <c r="T15" t="str">
        <f t="shared" si="2"/>
        <v>Nairobi</v>
      </c>
      <c r="U15" t="str">
        <f t="shared" si="3"/>
        <v>58</v>
      </c>
      <c r="V15">
        <f t="shared" si="4"/>
        <v>80000</v>
      </c>
      <c r="W15" t="str">
        <f t="shared" si="5"/>
        <v>Full-Time</v>
      </c>
    </row>
    <row r="16" spans="1:29" x14ac:dyDescent="0.3">
      <c r="A16">
        <v>10015</v>
      </c>
      <c r="B16" t="s">
        <v>22</v>
      </c>
      <c r="C16" t="s">
        <v>181</v>
      </c>
      <c r="D16" t="s">
        <v>193</v>
      </c>
      <c r="E16" t="s">
        <v>203</v>
      </c>
      <c r="F16">
        <v>52</v>
      </c>
      <c r="G16">
        <v>60000</v>
      </c>
      <c r="H16" t="s">
        <v>231</v>
      </c>
      <c r="P16">
        <v>10015</v>
      </c>
      <c r="Q16" t="str">
        <f t="shared" si="0"/>
        <v>Grace Miller</v>
      </c>
      <c r="R16" t="str">
        <f>_xlfn.XLOOKUP(C16,$AB$2:$AB$5,$AC$2:$AC$5,PROPER(TRIM(C16)))</f>
        <v>Nigeria</v>
      </c>
      <c r="S16" t="str">
        <f t="shared" si="1"/>
        <v>Operations</v>
      </c>
      <c r="T16" t="str">
        <f t="shared" si="2"/>
        <v>Accra</v>
      </c>
      <c r="U16" t="str">
        <f t="shared" si="3"/>
        <v>52</v>
      </c>
      <c r="V16">
        <f t="shared" si="4"/>
        <v>60000</v>
      </c>
      <c r="W16" t="str">
        <f t="shared" si="5"/>
        <v>Contract</v>
      </c>
    </row>
    <row r="17" spans="1:23" x14ac:dyDescent="0.3">
      <c r="A17">
        <v>10016</v>
      </c>
      <c r="B17" t="s">
        <v>23</v>
      </c>
      <c r="C17" t="s">
        <v>177</v>
      </c>
      <c r="D17" t="s">
        <v>194</v>
      </c>
      <c r="E17" t="s">
        <v>205</v>
      </c>
      <c r="F17">
        <v>46</v>
      </c>
      <c r="G17">
        <v>40000</v>
      </c>
      <c r="H17" t="s">
        <v>230</v>
      </c>
      <c r="P17">
        <v>10016</v>
      </c>
      <c r="Q17" t="str">
        <f t="shared" si="0"/>
        <v>Alice Smith</v>
      </c>
      <c r="R17" t="str">
        <f>_xlfn.XLOOKUP(C17,$AB$2:$AB$5,$AC$2:$AC$5,PROPER(TRIM(C17)))</f>
        <v>South Africa</v>
      </c>
      <c r="S17" t="str">
        <f t="shared" si="1"/>
        <v>Finance</v>
      </c>
      <c r="T17" t="str">
        <f t="shared" si="2"/>
        <v>Tema</v>
      </c>
      <c r="U17" t="str">
        <f t="shared" si="3"/>
        <v>46</v>
      </c>
      <c r="V17">
        <f t="shared" si="4"/>
        <v>40000</v>
      </c>
      <c r="W17" t="str">
        <f t="shared" si="5"/>
        <v>Full-Time</v>
      </c>
    </row>
    <row r="18" spans="1:23" x14ac:dyDescent="0.3">
      <c r="A18">
        <v>10017</v>
      </c>
      <c r="B18" t="s">
        <v>24</v>
      </c>
      <c r="C18" t="s">
        <v>182</v>
      </c>
      <c r="D18" t="s">
        <v>195</v>
      </c>
      <c r="E18" t="s">
        <v>207</v>
      </c>
      <c r="F18">
        <v>24</v>
      </c>
      <c r="G18">
        <v>80000</v>
      </c>
      <c r="H18" t="s">
        <v>231</v>
      </c>
      <c r="P18">
        <v>10017</v>
      </c>
      <c r="Q18" t="str">
        <f t="shared" si="0"/>
        <v>David Brown</v>
      </c>
      <c r="R18" t="str">
        <f>_xlfn.XLOOKUP(C18,$AB$2:$AB$5,$AC$2:$AC$5,PROPER(TRIM(C18)))</f>
        <v>South Africa</v>
      </c>
      <c r="S18" t="str">
        <f t="shared" si="1"/>
        <v>Sales</v>
      </c>
      <c r="T18" t="str">
        <f t="shared" si="2"/>
        <v>Accra</v>
      </c>
      <c r="U18" t="str">
        <f t="shared" si="3"/>
        <v>24</v>
      </c>
      <c r="V18">
        <f t="shared" si="4"/>
        <v>80000</v>
      </c>
      <c r="W18" t="str">
        <f t="shared" si="5"/>
        <v>Contract</v>
      </c>
    </row>
    <row r="19" spans="1:23" x14ac:dyDescent="0.3">
      <c r="A19">
        <v>10018</v>
      </c>
      <c r="B19" t="s">
        <v>25</v>
      </c>
      <c r="C19" t="s">
        <v>174</v>
      </c>
      <c r="D19" t="s">
        <v>191</v>
      </c>
      <c r="E19" t="s">
        <v>204</v>
      </c>
      <c r="F19">
        <v>32</v>
      </c>
      <c r="G19">
        <v>40000</v>
      </c>
      <c r="H19" t="s">
        <v>231</v>
      </c>
      <c r="P19">
        <v>10018</v>
      </c>
      <c r="Q19" t="str">
        <f t="shared" si="0"/>
        <v>Peter Okafor</v>
      </c>
      <c r="R19" t="str">
        <f>_xlfn.XLOOKUP(C19,$AB$2:$AB$5,$AC$2:$AC$5,PROPER(TRIM(C19)))</f>
        <v>Kenya</v>
      </c>
      <c r="S19" t="str">
        <f t="shared" si="1"/>
        <v>Finance</v>
      </c>
      <c r="T19" t="str">
        <f t="shared" si="2"/>
        <v>Nairobi</v>
      </c>
      <c r="U19" t="str">
        <f t="shared" si="3"/>
        <v>32</v>
      </c>
      <c r="V19">
        <f t="shared" si="4"/>
        <v>40000</v>
      </c>
      <c r="W19" t="str">
        <f t="shared" si="5"/>
        <v>Contract</v>
      </c>
    </row>
    <row r="20" spans="1:23" x14ac:dyDescent="0.3">
      <c r="A20">
        <v>10019</v>
      </c>
      <c r="B20" t="s">
        <v>26</v>
      </c>
      <c r="C20" t="s">
        <v>180</v>
      </c>
      <c r="D20" t="s">
        <v>189</v>
      </c>
      <c r="F20">
        <v>49</v>
      </c>
      <c r="G20">
        <v>50000</v>
      </c>
      <c r="H20" t="s">
        <v>231</v>
      </c>
      <c r="P20">
        <v>10019</v>
      </c>
      <c r="Q20" t="str">
        <f t="shared" si="0"/>
        <v>Grace Mensah</v>
      </c>
      <c r="R20" t="str">
        <f>_xlfn.XLOOKUP(C20,$AB$2:$AB$5,$AC$2:$AC$5,PROPER(TRIM(C20)))</f>
        <v>Ghana</v>
      </c>
      <c r="S20" t="str">
        <f t="shared" si="1"/>
        <v>Operations</v>
      </c>
      <c r="T20" t="str">
        <f t="shared" si="2"/>
        <v/>
      </c>
      <c r="U20" t="str">
        <f t="shared" si="3"/>
        <v>49</v>
      </c>
      <c r="V20">
        <f t="shared" si="4"/>
        <v>50000</v>
      </c>
      <c r="W20" t="str">
        <f t="shared" si="5"/>
        <v>Contract</v>
      </c>
    </row>
    <row r="21" spans="1:23" x14ac:dyDescent="0.3">
      <c r="A21">
        <v>10020</v>
      </c>
      <c r="B21" t="s">
        <v>8</v>
      </c>
      <c r="C21" t="s">
        <v>173</v>
      </c>
      <c r="D21" t="s">
        <v>190</v>
      </c>
      <c r="E21" t="s">
        <v>209</v>
      </c>
      <c r="F21">
        <v>41</v>
      </c>
      <c r="G21">
        <v>35000</v>
      </c>
      <c r="H21" t="s">
        <v>224</v>
      </c>
      <c r="P21">
        <v>10020</v>
      </c>
      <c r="Q21" t="str">
        <f t="shared" si="0"/>
        <v>Grace Johnson</v>
      </c>
      <c r="R21" t="str">
        <f>_xlfn.XLOOKUP(C21,$AB$2:$AB$5,$AC$2:$AC$5,PROPER(TRIM(C21)))</f>
        <v>South Africa</v>
      </c>
      <c r="S21" t="str">
        <f t="shared" si="1"/>
        <v>Hr</v>
      </c>
      <c r="T21" t="str">
        <f t="shared" si="2"/>
        <v>Johannesburg</v>
      </c>
      <c r="U21" t="str">
        <f t="shared" si="3"/>
        <v>41</v>
      </c>
      <c r="V21">
        <f t="shared" si="4"/>
        <v>35000</v>
      </c>
      <c r="W21" t="str">
        <f t="shared" si="5"/>
        <v>Full-Time</v>
      </c>
    </row>
    <row r="22" spans="1:23" x14ac:dyDescent="0.3">
      <c r="A22">
        <v>10021</v>
      </c>
      <c r="B22" t="s">
        <v>19</v>
      </c>
      <c r="C22" t="s">
        <v>175</v>
      </c>
      <c r="D22" t="s">
        <v>196</v>
      </c>
      <c r="E22" t="s">
        <v>201</v>
      </c>
      <c r="F22">
        <v>47</v>
      </c>
      <c r="G22">
        <v>45000</v>
      </c>
      <c r="H22" t="s">
        <v>229</v>
      </c>
      <c r="P22">
        <v>10021</v>
      </c>
      <c r="Q22" t="str">
        <f t="shared" si="0"/>
        <v>Ama Miller</v>
      </c>
      <c r="R22" t="str">
        <f>_xlfn.XLOOKUP(C22,$AB$2:$AB$5,$AC$2:$AC$5,PROPER(TRIM(C22)))</f>
        <v>Ghana</v>
      </c>
      <c r="S22" t="str">
        <f t="shared" si="1"/>
        <v>Hr</v>
      </c>
      <c r="T22" t="str">
        <f t="shared" si="2"/>
        <v>Johannesburg</v>
      </c>
      <c r="U22" t="str">
        <f t="shared" si="3"/>
        <v>47</v>
      </c>
      <c r="V22">
        <f t="shared" si="4"/>
        <v>45000</v>
      </c>
      <c r="W22" t="str">
        <f t="shared" si="5"/>
        <v>Contract</v>
      </c>
    </row>
    <row r="23" spans="1:23" x14ac:dyDescent="0.3">
      <c r="A23">
        <v>10022</v>
      </c>
      <c r="B23" t="s">
        <v>27</v>
      </c>
      <c r="C23" t="s">
        <v>183</v>
      </c>
      <c r="D23" t="s">
        <v>193</v>
      </c>
      <c r="E23" t="s">
        <v>210</v>
      </c>
      <c r="F23">
        <v>58</v>
      </c>
      <c r="G23">
        <v>30000</v>
      </c>
      <c r="H23" t="s">
        <v>230</v>
      </c>
      <c r="P23">
        <v>10022</v>
      </c>
      <c r="Q23" t="str">
        <f t="shared" si="0"/>
        <v>Linda Adams</v>
      </c>
      <c r="R23" t="str">
        <f>_xlfn.XLOOKUP(C23,$AB$2:$AB$5,$AC$2:$AC$5,PROPER(TRIM(C23)))</f>
        <v>Nigeria</v>
      </c>
      <c r="S23" t="str">
        <f t="shared" si="1"/>
        <v>Operations</v>
      </c>
      <c r="T23" t="str">
        <f t="shared" si="2"/>
        <v>Nairobi</v>
      </c>
      <c r="U23" t="str">
        <f t="shared" si="3"/>
        <v>58</v>
      </c>
      <c r="V23">
        <f t="shared" si="4"/>
        <v>30000</v>
      </c>
      <c r="W23" t="str">
        <f t="shared" si="5"/>
        <v>Full-Time</v>
      </c>
    </row>
    <row r="24" spans="1:23" x14ac:dyDescent="0.3">
      <c r="A24">
        <v>10023</v>
      </c>
      <c r="B24" t="s">
        <v>28</v>
      </c>
      <c r="C24" t="s">
        <v>184</v>
      </c>
      <c r="D24" t="s">
        <v>190</v>
      </c>
      <c r="E24" t="s">
        <v>205</v>
      </c>
      <c r="F24">
        <v>27</v>
      </c>
      <c r="G24">
        <v>90000</v>
      </c>
      <c r="H24" t="s">
        <v>230</v>
      </c>
      <c r="P24">
        <v>10023</v>
      </c>
      <c r="Q24" t="str">
        <f t="shared" si="0"/>
        <v>Nana Miller</v>
      </c>
      <c r="R24" t="str">
        <f>_xlfn.XLOOKUP(C24,$AB$2:$AB$5,$AC$2:$AC$5,PROPER(TRIM(C24)))</f>
        <v>Ghana</v>
      </c>
      <c r="S24" t="str">
        <f t="shared" si="1"/>
        <v>Hr</v>
      </c>
      <c r="T24" t="str">
        <f t="shared" si="2"/>
        <v>Tema</v>
      </c>
      <c r="U24" t="str">
        <f t="shared" si="3"/>
        <v>27</v>
      </c>
      <c r="V24">
        <f t="shared" si="4"/>
        <v>90000</v>
      </c>
      <c r="W24" t="str">
        <f t="shared" si="5"/>
        <v>Full-Time</v>
      </c>
    </row>
    <row r="25" spans="1:23" x14ac:dyDescent="0.3">
      <c r="A25">
        <v>10024</v>
      </c>
      <c r="B25" t="s">
        <v>29</v>
      </c>
      <c r="C25" t="s">
        <v>184</v>
      </c>
      <c r="D25" t="s">
        <v>197</v>
      </c>
      <c r="E25" t="s">
        <v>201</v>
      </c>
      <c r="F25">
        <v>250</v>
      </c>
      <c r="G25" t="s">
        <v>213</v>
      </c>
      <c r="H25" t="s">
        <v>229</v>
      </c>
      <c r="P25">
        <v>10024</v>
      </c>
      <c r="Q25" t="str">
        <f t="shared" si="0"/>
        <v>Alice Mensah</v>
      </c>
      <c r="R25" t="str">
        <f>_xlfn.XLOOKUP(C25,$AB$2:$AB$5,$AC$2:$AC$5,PROPER(TRIM(C25)))</f>
        <v>Ghana</v>
      </c>
      <c r="S25" t="str">
        <f t="shared" si="1"/>
        <v>It</v>
      </c>
      <c r="T25" t="str">
        <f t="shared" si="2"/>
        <v>Johannesburg</v>
      </c>
      <c r="U25" t="str">
        <f t="shared" si="3"/>
        <v>250</v>
      </c>
      <c r="V25">
        <f t="shared" si="4"/>
        <v>90000</v>
      </c>
      <c r="W25" t="str">
        <f t="shared" si="5"/>
        <v>Contract</v>
      </c>
    </row>
    <row r="26" spans="1:23" x14ac:dyDescent="0.3">
      <c r="A26">
        <v>10025</v>
      </c>
      <c r="B26" t="s">
        <v>30</v>
      </c>
      <c r="C26" t="s">
        <v>185</v>
      </c>
      <c r="D26" t="s">
        <v>198</v>
      </c>
      <c r="E26" t="s">
        <v>204</v>
      </c>
      <c r="F26">
        <v>31</v>
      </c>
      <c r="H26" t="s">
        <v>224</v>
      </c>
      <c r="P26">
        <v>10025</v>
      </c>
      <c r="Q26" t="str">
        <f t="shared" si="0"/>
        <v>Emma Johnson</v>
      </c>
      <c r="R26" t="str">
        <f>_xlfn.XLOOKUP(C26,$AB$2:$AB$5,$AC$2:$AC$5,PROPER(TRIM(C26)))</f>
        <v>Ghana</v>
      </c>
      <c r="S26" t="str">
        <f t="shared" si="1"/>
        <v>Sales</v>
      </c>
      <c r="T26" t="str">
        <f t="shared" si="2"/>
        <v>Nairobi</v>
      </c>
      <c r="U26" t="str">
        <f t="shared" si="3"/>
        <v>31</v>
      </c>
      <c r="V26" t="str">
        <f t="shared" si="4"/>
        <v/>
      </c>
      <c r="W26" t="str">
        <f t="shared" si="5"/>
        <v>Full-Time</v>
      </c>
    </row>
    <row r="27" spans="1:23" x14ac:dyDescent="0.3">
      <c r="A27">
        <v>10026</v>
      </c>
      <c r="B27" t="s">
        <v>31</v>
      </c>
      <c r="C27" t="s">
        <v>175</v>
      </c>
      <c r="D27" t="s">
        <v>198</v>
      </c>
      <c r="E27" t="s">
        <v>200</v>
      </c>
      <c r="F27">
        <v>36</v>
      </c>
      <c r="G27">
        <v>90000</v>
      </c>
      <c r="H27" t="s">
        <v>230</v>
      </c>
      <c r="P27">
        <v>10026</v>
      </c>
      <c r="Q27" t="str">
        <f t="shared" si="0"/>
        <v>David Mensah</v>
      </c>
      <c r="R27" t="str">
        <f>_xlfn.XLOOKUP(C27,$AB$2:$AB$5,$AC$2:$AC$5,PROPER(TRIM(C27)))</f>
        <v>Ghana</v>
      </c>
      <c r="S27" t="str">
        <f t="shared" si="1"/>
        <v>Sales</v>
      </c>
      <c r="T27" t="str">
        <f t="shared" si="2"/>
        <v>Lagos</v>
      </c>
      <c r="U27" t="str">
        <f t="shared" si="3"/>
        <v>36</v>
      </c>
      <c r="V27">
        <f t="shared" si="4"/>
        <v>90000</v>
      </c>
      <c r="W27" t="str">
        <f t="shared" si="5"/>
        <v>Full-Time</v>
      </c>
    </row>
    <row r="28" spans="1:23" x14ac:dyDescent="0.3">
      <c r="A28">
        <v>10027</v>
      </c>
      <c r="B28" t="s">
        <v>32</v>
      </c>
      <c r="C28" t="s">
        <v>177</v>
      </c>
      <c r="D28" t="s">
        <v>196</v>
      </c>
      <c r="E28" t="s">
        <v>211</v>
      </c>
      <c r="G28">
        <v>30000</v>
      </c>
      <c r="H28" t="s">
        <v>230</v>
      </c>
      <c r="P28">
        <v>10027</v>
      </c>
      <c r="Q28" t="str">
        <f t="shared" si="0"/>
        <v>Sarah Owusu</v>
      </c>
      <c r="R28" t="str">
        <f>_xlfn.XLOOKUP(C28,$AB$2:$AB$5,$AC$2:$AC$5,PROPER(TRIM(C28)))</f>
        <v>South Africa</v>
      </c>
      <c r="S28" t="str">
        <f t="shared" si="1"/>
        <v>Hr</v>
      </c>
      <c r="T28" t="str">
        <f t="shared" si="2"/>
        <v>Lagos</v>
      </c>
      <c r="U28" t="str">
        <f t="shared" si="3"/>
        <v/>
      </c>
      <c r="V28">
        <f t="shared" si="4"/>
        <v>30000</v>
      </c>
      <c r="W28" t="str">
        <f t="shared" si="5"/>
        <v>Full-Time</v>
      </c>
    </row>
    <row r="29" spans="1:23" x14ac:dyDescent="0.3">
      <c r="A29">
        <v>10028</v>
      </c>
      <c r="B29" t="s">
        <v>33</v>
      </c>
      <c r="C29" t="s">
        <v>175</v>
      </c>
      <c r="D29" t="s">
        <v>193</v>
      </c>
      <c r="E29" t="s">
        <v>204</v>
      </c>
      <c r="F29">
        <v>51</v>
      </c>
      <c r="H29" t="s">
        <v>225</v>
      </c>
      <c r="P29">
        <v>10028</v>
      </c>
      <c r="Q29" t="str">
        <f t="shared" si="0"/>
        <v>Robert Owusu</v>
      </c>
      <c r="R29" t="str">
        <f>_xlfn.XLOOKUP(C29,$AB$2:$AB$5,$AC$2:$AC$5,PROPER(TRIM(C29)))</f>
        <v>Ghana</v>
      </c>
      <c r="S29" t="str">
        <f t="shared" si="1"/>
        <v>Operations</v>
      </c>
      <c r="T29" t="str">
        <f t="shared" si="2"/>
        <v>Nairobi</v>
      </c>
      <c r="U29" t="str">
        <f t="shared" si="3"/>
        <v>51</v>
      </c>
      <c r="V29" t="str">
        <f t="shared" si="4"/>
        <v/>
      </c>
      <c r="W29" t="str">
        <f t="shared" si="5"/>
        <v>Intern</v>
      </c>
    </row>
    <row r="30" spans="1:23" x14ac:dyDescent="0.3">
      <c r="A30">
        <v>10029</v>
      </c>
      <c r="B30" t="s">
        <v>34</v>
      </c>
      <c r="C30" t="s">
        <v>174</v>
      </c>
      <c r="E30" t="s">
        <v>209</v>
      </c>
      <c r="F30">
        <v>36</v>
      </c>
      <c r="H30" t="s">
        <v>225</v>
      </c>
      <c r="P30">
        <v>10029</v>
      </c>
      <c r="Q30" t="str">
        <f t="shared" si="0"/>
        <v>Michael Okafor</v>
      </c>
      <c r="R30" t="str">
        <f>_xlfn.XLOOKUP(C30,$AB$2:$AB$5,$AC$2:$AC$5,PROPER(TRIM(C30)))</f>
        <v>Kenya</v>
      </c>
      <c r="S30" t="str">
        <f t="shared" si="1"/>
        <v/>
      </c>
      <c r="T30" t="str">
        <f t="shared" si="2"/>
        <v>Johannesburg</v>
      </c>
      <c r="U30" t="str">
        <f t="shared" si="3"/>
        <v>36</v>
      </c>
      <c r="V30" t="str">
        <f t="shared" si="4"/>
        <v/>
      </c>
      <c r="W30" t="str">
        <f t="shared" si="5"/>
        <v>Intern</v>
      </c>
    </row>
    <row r="31" spans="1:23" x14ac:dyDescent="0.3">
      <c r="A31">
        <v>10030</v>
      </c>
      <c r="B31" t="s">
        <v>35</v>
      </c>
      <c r="C31" t="s">
        <v>186</v>
      </c>
      <c r="D31" t="s">
        <v>196</v>
      </c>
      <c r="E31" t="s">
        <v>205</v>
      </c>
      <c r="F31">
        <v>30</v>
      </c>
      <c r="G31">
        <v>30000</v>
      </c>
      <c r="H31" t="s">
        <v>230</v>
      </c>
      <c r="P31">
        <v>10030</v>
      </c>
      <c r="Q31" t="str">
        <f t="shared" si="0"/>
        <v>Alice Johnson</v>
      </c>
      <c r="R31" t="str">
        <f>_xlfn.XLOOKUP(C31,$AB$2:$AB$5,$AC$2:$AC$5,PROPER(TRIM(C31)))</f>
        <v>Ghana</v>
      </c>
      <c r="S31" t="str">
        <f t="shared" si="1"/>
        <v>Hr</v>
      </c>
      <c r="T31" t="str">
        <f t="shared" si="2"/>
        <v>Tema</v>
      </c>
      <c r="U31" t="str">
        <f t="shared" si="3"/>
        <v>30</v>
      </c>
      <c r="V31">
        <f t="shared" si="4"/>
        <v>30000</v>
      </c>
      <c r="W31" t="str">
        <f t="shared" si="5"/>
        <v>Full-Time</v>
      </c>
    </row>
    <row r="32" spans="1:23" x14ac:dyDescent="0.3">
      <c r="A32">
        <v>10031</v>
      </c>
      <c r="B32" t="s">
        <v>36</v>
      </c>
      <c r="C32" t="s">
        <v>180</v>
      </c>
      <c r="D32" t="s">
        <v>193</v>
      </c>
      <c r="E32" t="s">
        <v>209</v>
      </c>
      <c r="F32">
        <v>-5</v>
      </c>
      <c r="G32" t="s">
        <v>214</v>
      </c>
      <c r="H32" t="s">
        <v>224</v>
      </c>
      <c r="P32">
        <v>10031</v>
      </c>
      <c r="Q32" t="str">
        <f t="shared" si="0"/>
        <v>Daniel Smith</v>
      </c>
      <c r="R32" t="str">
        <f>_xlfn.XLOOKUP(C32,$AB$2:$AB$5,$AC$2:$AC$5,PROPER(TRIM(C32)))</f>
        <v>Ghana</v>
      </c>
      <c r="S32" t="str">
        <f t="shared" si="1"/>
        <v>Operations</v>
      </c>
      <c r="T32" t="str">
        <f t="shared" si="2"/>
        <v>Johannesburg</v>
      </c>
      <c r="U32" t="str">
        <f t="shared" si="3"/>
        <v>-5</v>
      </c>
      <c r="V32">
        <f t="shared" si="4"/>
        <v>40000</v>
      </c>
      <c r="W32" t="str">
        <f t="shared" si="5"/>
        <v>Full-Time</v>
      </c>
    </row>
    <row r="33" spans="1:23" x14ac:dyDescent="0.3">
      <c r="A33">
        <v>10032</v>
      </c>
      <c r="B33" t="s">
        <v>37</v>
      </c>
      <c r="C33" t="s">
        <v>180</v>
      </c>
      <c r="D33" t="s">
        <v>190</v>
      </c>
      <c r="E33" t="s">
        <v>202</v>
      </c>
      <c r="F33">
        <v>60</v>
      </c>
      <c r="G33">
        <v>30000</v>
      </c>
      <c r="H33" t="s">
        <v>225</v>
      </c>
      <c r="P33">
        <v>10032</v>
      </c>
      <c r="Q33" t="str">
        <f t="shared" si="0"/>
        <v>David Smith</v>
      </c>
      <c r="R33" t="str">
        <f>_xlfn.XLOOKUP(C33,$AB$2:$AB$5,$AC$2:$AC$5,PROPER(TRIM(C33)))</f>
        <v>Ghana</v>
      </c>
      <c r="S33" t="str">
        <f t="shared" si="1"/>
        <v>Hr</v>
      </c>
      <c r="T33" t="str">
        <f t="shared" si="2"/>
        <v>Kumasi</v>
      </c>
      <c r="U33" t="str">
        <f t="shared" si="3"/>
        <v>60</v>
      </c>
      <c r="V33">
        <f t="shared" si="4"/>
        <v>30000</v>
      </c>
      <c r="W33" t="str">
        <f t="shared" si="5"/>
        <v>Intern</v>
      </c>
    </row>
    <row r="34" spans="1:23" x14ac:dyDescent="0.3">
      <c r="A34">
        <v>10033</v>
      </c>
      <c r="B34" t="s">
        <v>38</v>
      </c>
      <c r="C34" t="s">
        <v>181</v>
      </c>
      <c r="D34" t="s">
        <v>198</v>
      </c>
      <c r="E34" t="s">
        <v>209</v>
      </c>
      <c r="F34">
        <v>47</v>
      </c>
      <c r="G34">
        <v>70000</v>
      </c>
      <c r="H34" t="s">
        <v>230</v>
      </c>
      <c r="P34">
        <v>10033</v>
      </c>
      <c r="Q34" t="str">
        <f t="shared" si="0"/>
        <v>Grace Owusu</v>
      </c>
      <c r="R34" t="str">
        <f>_xlfn.XLOOKUP(C34,$AB$2:$AB$5,$AC$2:$AC$5,PROPER(TRIM(C34)))</f>
        <v>Nigeria</v>
      </c>
      <c r="S34" t="str">
        <f t="shared" si="1"/>
        <v>Sales</v>
      </c>
      <c r="T34" t="str">
        <f t="shared" si="2"/>
        <v>Johannesburg</v>
      </c>
      <c r="U34" t="str">
        <f t="shared" si="3"/>
        <v>47</v>
      </c>
      <c r="V34">
        <f t="shared" si="4"/>
        <v>70000</v>
      </c>
      <c r="W34" t="str">
        <f t="shared" si="5"/>
        <v>Full-Time</v>
      </c>
    </row>
    <row r="35" spans="1:23" x14ac:dyDescent="0.3">
      <c r="A35">
        <v>10034</v>
      </c>
      <c r="B35" t="s">
        <v>39</v>
      </c>
      <c r="C35" t="s">
        <v>182</v>
      </c>
      <c r="D35" t="s">
        <v>197</v>
      </c>
      <c r="E35" t="s">
        <v>208</v>
      </c>
      <c r="F35">
        <v>26</v>
      </c>
      <c r="G35">
        <v>80000</v>
      </c>
      <c r="H35" t="s">
        <v>225</v>
      </c>
      <c r="P35">
        <v>10034</v>
      </c>
      <c r="Q35" t="str">
        <f t="shared" si="0"/>
        <v>Fatima Okafor</v>
      </c>
      <c r="R35" t="str">
        <f>_xlfn.XLOOKUP(C35,$AB$2:$AB$5,$AC$2:$AC$5,PROPER(TRIM(C35)))</f>
        <v>South Africa</v>
      </c>
      <c r="S35" t="str">
        <f t="shared" si="1"/>
        <v>It</v>
      </c>
      <c r="T35" t="str">
        <f t="shared" si="2"/>
        <v>Kumasi</v>
      </c>
      <c r="U35" t="str">
        <f t="shared" si="3"/>
        <v>26</v>
      </c>
      <c r="V35">
        <f t="shared" si="4"/>
        <v>80000</v>
      </c>
      <c r="W35" t="str">
        <f t="shared" si="5"/>
        <v>Intern</v>
      </c>
    </row>
    <row r="36" spans="1:23" x14ac:dyDescent="0.3">
      <c r="A36">
        <v>10035</v>
      </c>
      <c r="B36" t="s">
        <v>40</v>
      </c>
      <c r="C36" t="s">
        <v>186</v>
      </c>
      <c r="D36" t="s">
        <v>198</v>
      </c>
      <c r="E36" t="s">
        <v>201</v>
      </c>
      <c r="F36">
        <v>24</v>
      </c>
      <c r="G36">
        <v>50000</v>
      </c>
      <c r="H36" t="s">
        <v>225</v>
      </c>
      <c r="P36">
        <v>10035</v>
      </c>
      <c r="Q36" t="str">
        <f t="shared" si="0"/>
        <v>Nana Mensah</v>
      </c>
      <c r="R36" t="str">
        <f>_xlfn.XLOOKUP(C36,$AB$2:$AB$5,$AC$2:$AC$5,PROPER(TRIM(C36)))</f>
        <v>Ghana</v>
      </c>
      <c r="S36" t="str">
        <f t="shared" si="1"/>
        <v>Sales</v>
      </c>
      <c r="T36" t="str">
        <f t="shared" si="2"/>
        <v>Johannesburg</v>
      </c>
      <c r="U36" t="str">
        <f t="shared" si="3"/>
        <v>24</v>
      </c>
      <c r="V36">
        <f t="shared" si="4"/>
        <v>50000</v>
      </c>
      <c r="W36" t="str">
        <f t="shared" si="5"/>
        <v>Intern</v>
      </c>
    </row>
    <row r="37" spans="1:23" x14ac:dyDescent="0.3">
      <c r="A37">
        <v>10036</v>
      </c>
      <c r="B37" t="s">
        <v>41</v>
      </c>
      <c r="C37" t="s">
        <v>184</v>
      </c>
      <c r="D37" t="s">
        <v>195</v>
      </c>
      <c r="E37" t="s">
        <v>208</v>
      </c>
      <c r="G37">
        <v>65000</v>
      </c>
      <c r="H37" t="s">
        <v>229</v>
      </c>
      <c r="P37">
        <v>10036</v>
      </c>
      <c r="Q37" t="str">
        <f t="shared" si="0"/>
        <v>Emma Miller</v>
      </c>
      <c r="R37" t="str">
        <f>_xlfn.XLOOKUP(C37,$AB$2:$AB$5,$AC$2:$AC$5,PROPER(TRIM(C37)))</f>
        <v>Ghana</v>
      </c>
      <c r="S37" t="str">
        <f t="shared" si="1"/>
        <v>Sales</v>
      </c>
      <c r="T37" t="str">
        <f t="shared" si="2"/>
        <v>Kumasi</v>
      </c>
      <c r="U37" t="str">
        <f t="shared" si="3"/>
        <v/>
      </c>
      <c r="V37">
        <f t="shared" si="4"/>
        <v>65000</v>
      </c>
      <c r="W37" t="str">
        <f t="shared" si="5"/>
        <v>Contract</v>
      </c>
    </row>
    <row r="38" spans="1:23" x14ac:dyDescent="0.3">
      <c r="A38">
        <v>10037</v>
      </c>
      <c r="B38" t="s">
        <v>20</v>
      </c>
      <c r="C38" t="s">
        <v>180</v>
      </c>
      <c r="D38" t="s">
        <v>187</v>
      </c>
      <c r="E38" t="s">
        <v>207</v>
      </c>
      <c r="F38">
        <v>27</v>
      </c>
      <c r="G38">
        <v>45000</v>
      </c>
      <c r="H38" t="s">
        <v>229</v>
      </c>
      <c r="P38">
        <v>10037</v>
      </c>
      <c r="Q38" t="str">
        <f t="shared" si="0"/>
        <v>John Kamau</v>
      </c>
      <c r="R38" t="str">
        <f>_xlfn.XLOOKUP(C38,$AB$2:$AB$5,$AC$2:$AC$5,PROPER(TRIM(C38)))</f>
        <v>Ghana</v>
      </c>
      <c r="S38" t="str">
        <f t="shared" si="1"/>
        <v>It</v>
      </c>
      <c r="T38" t="str">
        <f t="shared" si="2"/>
        <v>Accra</v>
      </c>
      <c r="U38" t="str">
        <f t="shared" si="3"/>
        <v>27</v>
      </c>
      <c r="V38">
        <f t="shared" si="4"/>
        <v>45000</v>
      </c>
      <c r="W38" t="str">
        <f t="shared" si="5"/>
        <v>Contract</v>
      </c>
    </row>
    <row r="39" spans="1:23" x14ac:dyDescent="0.3">
      <c r="A39">
        <v>10038</v>
      </c>
      <c r="B39" t="s">
        <v>42</v>
      </c>
      <c r="C39" t="s">
        <v>182</v>
      </c>
      <c r="D39" t="s">
        <v>195</v>
      </c>
      <c r="E39" t="s">
        <v>210</v>
      </c>
      <c r="F39">
        <v>54</v>
      </c>
      <c r="G39">
        <v>70000</v>
      </c>
      <c r="H39" t="s">
        <v>228</v>
      </c>
      <c r="P39">
        <v>10038</v>
      </c>
      <c r="Q39" t="str">
        <f t="shared" si="0"/>
        <v>Samuel Johnson</v>
      </c>
      <c r="R39" t="str">
        <f>_xlfn.XLOOKUP(C39,$AB$2:$AB$5,$AC$2:$AC$5,PROPER(TRIM(C39)))</f>
        <v>South Africa</v>
      </c>
      <c r="S39" t="str">
        <f t="shared" si="1"/>
        <v>Sales</v>
      </c>
      <c r="T39" t="str">
        <f t="shared" si="2"/>
        <v>Nairobi</v>
      </c>
      <c r="U39" t="str">
        <f t="shared" si="3"/>
        <v>54</v>
      </c>
      <c r="V39">
        <f t="shared" si="4"/>
        <v>70000</v>
      </c>
      <c r="W39" t="str">
        <f t="shared" si="5"/>
        <v>Part-Time</v>
      </c>
    </row>
    <row r="40" spans="1:23" x14ac:dyDescent="0.3">
      <c r="A40">
        <v>10039</v>
      </c>
      <c r="B40" t="s">
        <v>43</v>
      </c>
      <c r="C40" t="s">
        <v>186</v>
      </c>
      <c r="D40" t="s">
        <v>196</v>
      </c>
      <c r="E40" t="s">
        <v>208</v>
      </c>
      <c r="F40">
        <v>35</v>
      </c>
      <c r="G40">
        <v>70000</v>
      </c>
      <c r="H40" t="s">
        <v>227</v>
      </c>
      <c r="P40">
        <v>10039</v>
      </c>
      <c r="Q40" t="str">
        <f t="shared" si="0"/>
        <v>Fatima Owusu</v>
      </c>
      <c r="R40" t="str">
        <f>_xlfn.XLOOKUP(C40,$AB$2:$AB$5,$AC$2:$AC$5,PROPER(TRIM(C40)))</f>
        <v>Ghana</v>
      </c>
      <c r="S40" t="str">
        <f t="shared" si="1"/>
        <v>Hr</v>
      </c>
      <c r="T40" t="str">
        <f t="shared" si="2"/>
        <v>Kumasi</v>
      </c>
      <c r="U40" t="str">
        <f t="shared" si="3"/>
        <v>35</v>
      </c>
      <c r="V40">
        <f t="shared" si="4"/>
        <v>70000</v>
      </c>
      <c r="W40" t="str">
        <f t="shared" si="5"/>
        <v>Part-Time</v>
      </c>
    </row>
    <row r="41" spans="1:23" x14ac:dyDescent="0.3">
      <c r="A41">
        <v>10040</v>
      </c>
      <c r="B41" t="s">
        <v>44</v>
      </c>
      <c r="C41" t="s">
        <v>185</v>
      </c>
      <c r="D41" t="s">
        <v>192</v>
      </c>
      <c r="E41" t="s">
        <v>202</v>
      </c>
      <c r="F41">
        <v>27</v>
      </c>
      <c r="H41" t="s">
        <v>226</v>
      </c>
      <c r="P41">
        <v>10040</v>
      </c>
      <c r="Q41" t="str">
        <f t="shared" si="0"/>
        <v>John Johnson</v>
      </c>
      <c r="R41" t="str">
        <f>_xlfn.XLOOKUP(C41,$AB$2:$AB$5,$AC$2:$AC$5,PROPER(TRIM(C41)))</f>
        <v>Ghana</v>
      </c>
      <c r="S41" t="str">
        <f t="shared" si="1"/>
        <v>Marketing</v>
      </c>
      <c r="T41" t="str">
        <f t="shared" si="2"/>
        <v>Kumasi</v>
      </c>
      <c r="U41" t="str">
        <f t="shared" si="3"/>
        <v>27</v>
      </c>
      <c r="V41" t="str">
        <f t="shared" si="4"/>
        <v/>
      </c>
      <c r="W41" t="str">
        <f t="shared" si="5"/>
        <v>Full Time</v>
      </c>
    </row>
    <row r="42" spans="1:23" x14ac:dyDescent="0.3">
      <c r="A42">
        <v>10041</v>
      </c>
      <c r="B42" t="s">
        <v>45</v>
      </c>
      <c r="C42" t="s">
        <v>177</v>
      </c>
      <c r="D42" t="s">
        <v>187</v>
      </c>
      <c r="E42" t="s">
        <v>208</v>
      </c>
      <c r="F42">
        <v>41</v>
      </c>
      <c r="G42">
        <v>60000</v>
      </c>
      <c r="H42" t="s">
        <v>229</v>
      </c>
      <c r="P42">
        <v>10041</v>
      </c>
      <c r="Q42" t="str">
        <f t="shared" si="0"/>
        <v>Joseph Mensah</v>
      </c>
      <c r="R42" t="str">
        <f>_xlfn.XLOOKUP(C42,$AB$2:$AB$5,$AC$2:$AC$5,PROPER(TRIM(C42)))</f>
        <v>South Africa</v>
      </c>
      <c r="S42" t="str">
        <f t="shared" si="1"/>
        <v>It</v>
      </c>
      <c r="T42" t="str">
        <f t="shared" si="2"/>
        <v>Kumasi</v>
      </c>
      <c r="U42" t="str">
        <f t="shared" si="3"/>
        <v>41</v>
      </c>
      <c r="V42">
        <f t="shared" si="4"/>
        <v>60000</v>
      </c>
      <c r="W42" t="str">
        <f t="shared" si="5"/>
        <v>Contract</v>
      </c>
    </row>
    <row r="43" spans="1:23" x14ac:dyDescent="0.3">
      <c r="A43">
        <v>10042</v>
      </c>
      <c r="B43" t="s">
        <v>46</v>
      </c>
      <c r="C43" t="s">
        <v>176</v>
      </c>
      <c r="D43" t="s">
        <v>189</v>
      </c>
      <c r="E43" t="s">
        <v>208</v>
      </c>
      <c r="F43">
        <v>27</v>
      </c>
      <c r="G43">
        <v>90000</v>
      </c>
      <c r="H43" t="s">
        <v>226</v>
      </c>
      <c r="P43">
        <v>10042</v>
      </c>
      <c r="Q43" t="str">
        <f t="shared" si="0"/>
        <v>Peter Williams</v>
      </c>
      <c r="R43" t="str">
        <f>_xlfn.XLOOKUP(C43,$AB$2:$AB$5,$AC$2:$AC$5,PROPER(TRIM(C43)))</f>
        <v>Nigeria</v>
      </c>
      <c r="S43" t="str">
        <f t="shared" si="1"/>
        <v>Operations</v>
      </c>
      <c r="T43" t="str">
        <f t="shared" si="2"/>
        <v>Kumasi</v>
      </c>
      <c r="U43" t="str">
        <f t="shared" si="3"/>
        <v>27</v>
      </c>
      <c r="V43">
        <f t="shared" si="4"/>
        <v>90000</v>
      </c>
      <c r="W43" t="str">
        <f t="shared" si="5"/>
        <v>Full Time</v>
      </c>
    </row>
    <row r="44" spans="1:23" x14ac:dyDescent="0.3">
      <c r="A44">
        <v>10043</v>
      </c>
      <c r="B44" t="s">
        <v>47</v>
      </c>
      <c r="C44" t="s">
        <v>182</v>
      </c>
      <c r="D44" t="s">
        <v>198</v>
      </c>
      <c r="E44" t="s">
        <v>201</v>
      </c>
      <c r="F44">
        <v>52</v>
      </c>
      <c r="G44">
        <v>50000</v>
      </c>
      <c r="H44" t="s">
        <v>227</v>
      </c>
      <c r="P44">
        <v>10043</v>
      </c>
      <c r="Q44" t="str">
        <f t="shared" si="0"/>
        <v>Sarah Brown</v>
      </c>
      <c r="R44" t="str">
        <f>_xlfn.XLOOKUP(C44,$AB$2:$AB$5,$AC$2:$AC$5,PROPER(TRIM(C44)))</f>
        <v>South Africa</v>
      </c>
      <c r="S44" t="str">
        <f t="shared" si="1"/>
        <v>Sales</v>
      </c>
      <c r="T44" t="str">
        <f t="shared" si="2"/>
        <v>Johannesburg</v>
      </c>
      <c r="U44" t="str">
        <f t="shared" si="3"/>
        <v>52</v>
      </c>
      <c r="V44">
        <f t="shared" si="4"/>
        <v>50000</v>
      </c>
      <c r="W44" t="str">
        <f t="shared" si="5"/>
        <v>Part-Time</v>
      </c>
    </row>
    <row r="45" spans="1:23" x14ac:dyDescent="0.3">
      <c r="A45">
        <v>10044</v>
      </c>
      <c r="B45" t="s">
        <v>48</v>
      </c>
      <c r="C45" t="s">
        <v>180</v>
      </c>
      <c r="D45" t="s">
        <v>195</v>
      </c>
      <c r="E45" t="s">
        <v>207</v>
      </c>
      <c r="F45">
        <v>36</v>
      </c>
      <c r="G45">
        <v>50000</v>
      </c>
      <c r="H45" t="s">
        <v>229</v>
      </c>
      <c r="P45">
        <v>10044</v>
      </c>
      <c r="Q45" t="str">
        <f t="shared" si="0"/>
        <v>Mary Smith</v>
      </c>
      <c r="R45" t="str">
        <f>_xlfn.XLOOKUP(C45,$AB$2:$AB$5,$AC$2:$AC$5,PROPER(TRIM(C45)))</f>
        <v>Ghana</v>
      </c>
      <c r="S45" t="str">
        <f t="shared" si="1"/>
        <v>Sales</v>
      </c>
      <c r="T45" t="str">
        <f t="shared" si="2"/>
        <v>Accra</v>
      </c>
      <c r="U45" t="str">
        <f t="shared" si="3"/>
        <v>36</v>
      </c>
      <c r="V45">
        <f t="shared" si="4"/>
        <v>50000</v>
      </c>
      <c r="W45" t="str">
        <f t="shared" si="5"/>
        <v>Contract</v>
      </c>
    </row>
    <row r="46" spans="1:23" x14ac:dyDescent="0.3">
      <c r="A46">
        <v>10045</v>
      </c>
      <c r="B46" t="s">
        <v>49</v>
      </c>
      <c r="C46" t="s">
        <v>175</v>
      </c>
      <c r="D46" t="s">
        <v>194</v>
      </c>
      <c r="E46" t="s">
        <v>207</v>
      </c>
      <c r="F46">
        <v>50</v>
      </c>
      <c r="G46">
        <v>40000</v>
      </c>
      <c r="H46" t="s">
        <v>227</v>
      </c>
      <c r="P46">
        <v>10045</v>
      </c>
      <c r="Q46" t="str">
        <f t="shared" si="0"/>
        <v>David Miller</v>
      </c>
      <c r="R46" t="str">
        <f>_xlfn.XLOOKUP(C46,$AB$2:$AB$5,$AC$2:$AC$5,PROPER(TRIM(C46)))</f>
        <v>Ghana</v>
      </c>
      <c r="S46" t="str">
        <f t="shared" si="1"/>
        <v>Finance</v>
      </c>
      <c r="T46" t="str">
        <f t="shared" si="2"/>
        <v>Accra</v>
      </c>
      <c r="U46" t="str">
        <f t="shared" si="3"/>
        <v>50</v>
      </c>
      <c r="V46">
        <f t="shared" si="4"/>
        <v>40000</v>
      </c>
      <c r="W46" t="str">
        <f t="shared" si="5"/>
        <v>Part-Time</v>
      </c>
    </row>
    <row r="47" spans="1:23" x14ac:dyDescent="0.3">
      <c r="A47">
        <v>10046</v>
      </c>
      <c r="B47" t="s">
        <v>44</v>
      </c>
      <c r="C47" t="s">
        <v>173</v>
      </c>
      <c r="D47" t="s">
        <v>192</v>
      </c>
      <c r="E47" t="s">
        <v>211</v>
      </c>
      <c r="F47">
        <v>52</v>
      </c>
      <c r="G47">
        <v>40000</v>
      </c>
      <c r="H47" t="s">
        <v>225</v>
      </c>
      <c r="P47">
        <v>10046</v>
      </c>
      <c r="Q47" t="str">
        <f t="shared" si="0"/>
        <v>John Johnson</v>
      </c>
      <c r="R47" t="str">
        <f>_xlfn.XLOOKUP(C47,$AB$2:$AB$5,$AC$2:$AC$5,PROPER(TRIM(C47)))</f>
        <v>South Africa</v>
      </c>
      <c r="S47" t="str">
        <f t="shared" si="1"/>
        <v>Marketing</v>
      </c>
      <c r="T47" t="str">
        <f t="shared" si="2"/>
        <v>Lagos</v>
      </c>
      <c r="U47" t="str">
        <f t="shared" si="3"/>
        <v>52</v>
      </c>
      <c r="V47">
        <f t="shared" si="4"/>
        <v>40000</v>
      </c>
      <c r="W47" t="str">
        <f t="shared" si="5"/>
        <v>Intern</v>
      </c>
    </row>
    <row r="48" spans="1:23" x14ac:dyDescent="0.3">
      <c r="A48">
        <v>10047</v>
      </c>
      <c r="B48" t="s">
        <v>50</v>
      </c>
      <c r="C48" t="s">
        <v>179</v>
      </c>
      <c r="D48" t="s">
        <v>196</v>
      </c>
      <c r="E48" t="s">
        <v>204</v>
      </c>
      <c r="F48">
        <v>22</v>
      </c>
      <c r="G48">
        <v>65000</v>
      </c>
      <c r="H48" t="s">
        <v>229</v>
      </c>
      <c r="P48">
        <v>10047</v>
      </c>
      <c r="Q48" t="str">
        <f t="shared" si="0"/>
        <v>Fatima Miller</v>
      </c>
      <c r="R48" t="str">
        <f>_xlfn.XLOOKUP(C48,$AB$2:$AB$5,$AC$2:$AC$5,PROPER(TRIM(C48)))</f>
        <v>Kenya</v>
      </c>
      <c r="S48" t="str">
        <f t="shared" si="1"/>
        <v>Hr</v>
      </c>
      <c r="T48" t="str">
        <f t="shared" si="2"/>
        <v>Nairobi</v>
      </c>
      <c r="U48" t="str">
        <f t="shared" si="3"/>
        <v>22</v>
      </c>
      <c r="V48">
        <f t="shared" si="4"/>
        <v>65000</v>
      </c>
      <c r="W48" t="str">
        <f t="shared" si="5"/>
        <v>Contract</v>
      </c>
    </row>
    <row r="49" spans="1:23" x14ac:dyDescent="0.3">
      <c r="A49">
        <v>10048</v>
      </c>
      <c r="B49" t="s">
        <v>51</v>
      </c>
      <c r="C49" t="s">
        <v>183</v>
      </c>
      <c r="D49" t="s">
        <v>188</v>
      </c>
      <c r="E49" t="s">
        <v>209</v>
      </c>
      <c r="F49">
        <v>21</v>
      </c>
      <c r="G49">
        <v>80000</v>
      </c>
      <c r="H49" t="s">
        <v>230</v>
      </c>
      <c r="P49">
        <v>10048</v>
      </c>
      <c r="Q49" t="str">
        <f t="shared" si="0"/>
        <v>Fatima Williams</v>
      </c>
      <c r="R49" t="str">
        <f>_xlfn.XLOOKUP(C49,$AB$2:$AB$5,$AC$2:$AC$5,PROPER(TRIM(C49)))</f>
        <v>Nigeria</v>
      </c>
      <c r="S49" t="str">
        <f t="shared" si="1"/>
        <v>Sales</v>
      </c>
      <c r="T49" t="str">
        <f t="shared" si="2"/>
        <v>Johannesburg</v>
      </c>
      <c r="U49" t="str">
        <f t="shared" si="3"/>
        <v>21</v>
      </c>
      <c r="V49">
        <f t="shared" si="4"/>
        <v>80000</v>
      </c>
      <c r="W49" t="str">
        <f t="shared" si="5"/>
        <v>Full-Time</v>
      </c>
    </row>
    <row r="50" spans="1:23" x14ac:dyDescent="0.3">
      <c r="A50">
        <v>10049</v>
      </c>
      <c r="B50" t="s">
        <v>52</v>
      </c>
      <c r="C50" t="s">
        <v>178</v>
      </c>
      <c r="D50" t="s">
        <v>187</v>
      </c>
      <c r="E50" t="s">
        <v>205</v>
      </c>
      <c r="F50">
        <v>58</v>
      </c>
      <c r="G50">
        <v>80000</v>
      </c>
      <c r="H50" t="s">
        <v>231</v>
      </c>
      <c r="P50">
        <v>10049</v>
      </c>
      <c r="Q50" t="str">
        <f t="shared" si="0"/>
        <v>Samuel Mensah</v>
      </c>
      <c r="R50" t="str">
        <f>_xlfn.XLOOKUP(C50,$AB$2:$AB$5,$AC$2:$AC$5,PROPER(TRIM(C50)))</f>
        <v>Kenya</v>
      </c>
      <c r="S50" t="str">
        <f t="shared" si="1"/>
        <v>It</v>
      </c>
      <c r="T50" t="str">
        <f t="shared" si="2"/>
        <v>Tema</v>
      </c>
      <c r="U50" t="str">
        <f t="shared" si="3"/>
        <v>58</v>
      </c>
      <c r="V50">
        <f t="shared" si="4"/>
        <v>80000</v>
      </c>
      <c r="W50" t="str">
        <f t="shared" si="5"/>
        <v>Contract</v>
      </c>
    </row>
    <row r="51" spans="1:23" x14ac:dyDescent="0.3">
      <c r="A51">
        <v>10050</v>
      </c>
      <c r="B51" t="s">
        <v>53</v>
      </c>
      <c r="C51" t="s">
        <v>178</v>
      </c>
      <c r="D51" t="s">
        <v>194</v>
      </c>
      <c r="E51" t="s">
        <v>201</v>
      </c>
      <c r="F51">
        <v>26</v>
      </c>
      <c r="G51">
        <v>70000</v>
      </c>
      <c r="H51" t="s">
        <v>227</v>
      </c>
      <c r="P51">
        <v>10050</v>
      </c>
      <c r="Q51" t="str">
        <f t="shared" si="0"/>
        <v>David Owusu</v>
      </c>
      <c r="R51" t="str">
        <f>_xlfn.XLOOKUP(C51,$AB$2:$AB$5,$AC$2:$AC$5,PROPER(TRIM(C51)))</f>
        <v>Kenya</v>
      </c>
      <c r="S51" t="str">
        <f t="shared" si="1"/>
        <v>Finance</v>
      </c>
      <c r="T51" t="str">
        <f t="shared" si="2"/>
        <v>Johannesburg</v>
      </c>
      <c r="U51" t="str">
        <f t="shared" si="3"/>
        <v>26</v>
      </c>
      <c r="V51">
        <f t="shared" si="4"/>
        <v>70000</v>
      </c>
      <c r="W51" t="str">
        <f t="shared" si="5"/>
        <v>Part-Time</v>
      </c>
    </row>
    <row r="52" spans="1:23" x14ac:dyDescent="0.3">
      <c r="A52">
        <v>10051</v>
      </c>
      <c r="B52" t="s">
        <v>54</v>
      </c>
      <c r="C52" t="s">
        <v>185</v>
      </c>
      <c r="D52" t="s">
        <v>194</v>
      </c>
      <c r="E52" t="s">
        <v>201</v>
      </c>
      <c r="F52">
        <v>42</v>
      </c>
      <c r="G52">
        <v>35000</v>
      </c>
      <c r="H52" t="s">
        <v>224</v>
      </c>
      <c r="P52">
        <v>10051</v>
      </c>
      <c r="Q52" t="str">
        <f t="shared" si="0"/>
        <v>Ama Johnson</v>
      </c>
      <c r="R52" t="str">
        <f>_xlfn.XLOOKUP(C52,$AB$2:$AB$5,$AC$2:$AC$5,PROPER(TRIM(C52)))</f>
        <v>Ghana</v>
      </c>
      <c r="S52" t="str">
        <f t="shared" si="1"/>
        <v>Finance</v>
      </c>
      <c r="T52" t="str">
        <f t="shared" si="2"/>
        <v>Johannesburg</v>
      </c>
      <c r="U52" t="str">
        <f t="shared" si="3"/>
        <v>42</v>
      </c>
      <c r="V52">
        <f t="shared" si="4"/>
        <v>35000</v>
      </c>
      <c r="W52" t="str">
        <f t="shared" si="5"/>
        <v>Full-Time</v>
      </c>
    </row>
    <row r="53" spans="1:23" x14ac:dyDescent="0.3">
      <c r="A53">
        <v>10052</v>
      </c>
      <c r="B53" t="s">
        <v>55</v>
      </c>
      <c r="C53" t="s">
        <v>179</v>
      </c>
      <c r="D53" t="s">
        <v>189</v>
      </c>
      <c r="E53" t="s">
        <v>205</v>
      </c>
      <c r="F53">
        <v>41</v>
      </c>
      <c r="G53">
        <v>30000</v>
      </c>
      <c r="H53" t="s">
        <v>227</v>
      </c>
      <c r="P53">
        <v>10052</v>
      </c>
      <c r="Q53" t="str">
        <f t="shared" si="0"/>
        <v>Robert Miller</v>
      </c>
      <c r="R53" t="str">
        <f>_xlfn.XLOOKUP(C53,$AB$2:$AB$5,$AC$2:$AC$5,PROPER(TRIM(C53)))</f>
        <v>Kenya</v>
      </c>
      <c r="S53" t="str">
        <f t="shared" si="1"/>
        <v>Operations</v>
      </c>
      <c r="T53" t="str">
        <f t="shared" si="2"/>
        <v>Tema</v>
      </c>
      <c r="U53" t="str">
        <f t="shared" si="3"/>
        <v>41</v>
      </c>
      <c r="V53">
        <f t="shared" si="4"/>
        <v>30000</v>
      </c>
      <c r="W53" t="str">
        <f t="shared" si="5"/>
        <v>Part-Time</v>
      </c>
    </row>
    <row r="54" spans="1:23" x14ac:dyDescent="0.3">
      <c r="A54">
        <v>10053</v>
      </c>
      <c r="B54" t="s">
        <v>56</v>
      </c>
      <c r="C54" t="s">
        <v>176</v>
      </c>
      <c r="E54" t="s">
        <v>201</v>
      </c>
      <c r="F54">
        <v>56</v>
      </c>
      <c r="G54">
        <v>30000</v>
      </c>
      <c r="H54" t="s">
        <v>225</v>
      </c>
      <c r="P54">
        <v>10053</v>
      </c>
      <c r="Q54" t="str">
        <f t="shared" si="0"/>
        <v>Kwame Williams</v>
      </c>
      <c r="R54" t="str">
        <f>_xlfn.XLOOKUP(C54,$AB$2:$AB$5,$AC$2:$AC$5,PROPER(TRIM(C54)))</f>
        <v>Nigeria</v>
      </c>
      <c r="S54" t="str">
        <f t="shared" si="1"/>
        <v/>
      </c>
      <c r="T54" t="str">
        <f t="shared" si="2"/>
        <v>Johannesburg</v>
      </c>
      <c r="U54" t="str">
        <f t="shared" si="3"/>
        <v>56</v>
      </c>
      <c r="V54">
        <f t="shared" si="4"/>
        <v>30000</v>
      </c>
      <c r="W54" t="str">
        <f t="shared" si="5"/>
        <v>Intern</v>
      </c>
    </row>
    <row r="55" spans="1:23" x14ac:dyDescent="0.3">
      <c r="A55">
        <v>10054</v>
      </c>
      <c r="B55" t="s">
        <v>57</v>
      </c>
      <c r="C55" t="s">
        <v>183</v>
      </c>
      <c r="D55" t="s">
        <v>199</v>
      </c>
      <c r="E55" t="s">
        <v>205</v>
      </c>
      <c r="F55">
        <v>51</v>
      </c>
      <c r="G55">
        <v>45000</v>
      </c>
      <c r="H55" t="s">
        <v>229</v>
      </c>
      <c r="P55">
        <v>10054</v>
      </c>
      <c r="Q55" t="str">
        <f t="shared" si="0"/>
        <v>Brian Brown</v>
      </c>
      <c r="R55" t="str">
        <f>_xlfn.XLOOKUP(C55,$AB$2:$AB$5,$AC$2:$AC$5,PROPER(TRIM(C55)))</f>
        <v>Nigeria</v>
      </c>
      <c r="S55" t="str">
        <f t="shared" si="1"/>
        <v>Marketing</v>
      </c>
      <c r="T55" t="str">
        <f t="shared" si="2"/>
        <v>Tema</v>
      </c>
      <c r="U55" t="str">
        <f t="shared" si="3"/>
        <v>51</v>
      </c>
      <c r="V55">
        <f t="shared" si="4"/>
        <v>45000</v>
      </c>
      <c r="W55" t="str">
        <f t="shared" si="5"/>
        <v>Contract</v>
      </c>
    </row>
    <row r="56" spans="1:23" x14ac:dyDescent="0.3">
      <c r="A56">
        <v>10055</v>
      </c>
      <c r="B56" t="s">
        <v>58</v>
      </c>
      <c r="C56" t="s">
        <v>183</v>
      </c>
      <c r="D56" t="s">
        <v>194</v>
      </c>
      <c r="E56" t="s">
        <v>202</v>
      </c>
      <c r="F56">
        <v>35</v>
      </c>
      <c r="G56">
        <v>35000</v>
      </c>
      <c r="H56" t="s">
        <v>227</v>
      </c>
      <c r="P56">
        <v>10055</v>
      </c>
      <c r="Q56" t="str">
        <f t="shared" si="0"/>
        <v>James Smith</v>
      </c>
      <c r="R56" t="str">
        <f>_xlfn.XLOOKUP(C56,$AB$2:$AB$5,$AC$2:$AC$5,PROPER(TRIM(C56)))</f>
        <v>Nigeria</v>
      </c>
      <c r="S56" t="str">
        <f t="shared" si="1"/>
        <v>Finance</v>
      </c>
      <c r="T56" t="str">
        <f t="shared" si="2"/>
        <v>Kumasi</v>
      </c>
      <c r="U56" t="str">
        <f t="shared" si="3"/>
        <v>35</v>
      </c>
      <c r="V56">
        <f t="shared" si="4"/>
        <v>35000</v>
      </c>
      <c r="W56" t="str">
        <f t="shared" si="5"/>
        <v>Part-Time</v>
      </c>
    </row>
    <row r="57" spans="1:23" x14ac:dyDescent="0.3">
      <c r="A57">
        <v>10056</v>
      </c>
      <c r="B57" t="s">
        <v>12</v>
      </c>
      <c r="C57" t="s">
        <v>185</v>
      </c>
      <c r="D57" t="s">
        <v>194</v>
      </c>
      <c r="E57" t="s">
        <v>208</v>
      </c>
      <c r="F57">
        <v>47</v>
      </c>
      <c r="G57">
        <v>80000</v>
      </c>
      <c r="H57" t="s">
        <v>231</v>
      </c>
      <c r="P57">
        <v>10056</v>
      </c>
      <c r="Q57" t="str">
        <f t="shared" si="0"/>
        <v>Kwame Smith</v>
      </c>
      <c r="R57" t="str">
        <f>_xlfn.XLOOKUP(C57,$AB$2:$AB$5,$AC$2:$AC$5,PROPER(TRIM(C57)))</f>
        <v>Ghana</v>
      </c>
      <c r="S57" t="str">
        <f t="shared" si="1"/>
        <v>Finance</v>
      </c>
      <c r="T57" t="str">
        <f t="shared" si="2"/>
        <v>Kumasi</v>
      </c>
      <c r="U57" t="str">
        <f t="shared" si="3"/>
        <v>47</v>
      </c>
      <c r="V57">
        <f t="shared" si="4"/>
        <v>80000</v>
      </c>
      <c r="W57" t="str">
        <f t="shared" si="5"/>
        <v>Contract</v>
      </c>
    </row>
    <row r="58" spans="1:23" x14ac:dyDescent="0.3">
      <c r="A58">
        <v>10057</v>
      </c>
      <c r="B58" t="s">
        <v>59</v>
      </c>
      <c r="C58" t="s">
        <v>175</v>
      </c>
      <c r="D58" t="s">
        <v>190</v>
      </c>
      <c r="E58" t="s">
        <v>210</v>
      </c>
      <c r="F58">
        <v>31</v>
      </c>
      <c r="G58">
        <v>50000</v>
      </c>
      <c r="H58" t="s">
        <v>230</v>
      </c>
      <c r="P58">
        <v>10057</v>
      </c>
      <c r="Q58" t="str">
        <f t="shared" si="0"/>
        <v>Alice Adams</v>
      </c>
      <c r="R58" t="str">
        <f>_xlfn.XLOOKUP(C58,$AB$2:$AB$5,$AC$2:$AC$5,PROPER(TRIM(C58)))</f>
        <v>Ghana</v>
      </c>
      <c r="S58" t="str">
        <f t="shared" si="1"/>
        <v>Hr</v>
      </c>
      <c r="T58" t="str">
        <f t="shared" si="2"/>
        <v>Nairobi</v>
      </c>
      <c r="U58" t="str">
        <f t="shared" si="3"/>
        <v>31</v>
      </c>
      <c r="V58">
        <f t="shared" si="4"/>
        <v>50000</v>
      </c>
      <c r="W58" t="str">
        <f t="shared" si="5"/>
        <v>Full-Time</v>
      </c>
    </row>
    <row r="59" spans="1:23" x14ac:dyDescent="0.3">
      <c r="A59">
        <v>10058</v>
      </c>
      <c r="B59" t="s">
        <v>60</v>
      </c>
      <c r="C59" t="s">
        <v>182</v>
      </c>
      <c r="D59" t="s">
        <v>196</v>
      </c>
      <c r="E59" t="s">
        <v>210</v>
      </c>
      <c r="F59">
        <v>59</v>
      </c>
      <c r="G59">
        <v>50000</v>
      </c>
      <c r="H59" t="s">
        <v>230</v>
      </c>
      <c r="P59">
        <v>10058</v>
      </c>
      <c r="Q59" t="str">
        <f t="shared" si="0"/>
        <v>John Owusu</v>
      </c>
      <c r="R59" t="str">
        <f>_xlfn.XLOOKUP(C59,$AB$2:$AB$5,$AC$2:$AC$5,PROPER(TRIM(C59)))</f>
        <v>South Africa</v>
      </c>
      <c r="S59" t="str">
        <f t="shared" si="1"/>
        <v>Hr</v>
      </c>
      <c r="T59" t="str">
        <f t="shared" si="2"/>
        <v>Nairobi</v>
      </c>
      <c r="U59" t="str">
        <f t="shared" si="3"/>
        <v>59</v>
      </c>
      <c r="V59">
        <f t="shared" si="4"/>
        <v>50000</v>
      </c>
      <c r="W59" t="str">
        <f t="shared" si="5"/>
        <v>Full-Time</v>
      </c>
    </row>
    <row r="60" spans="1:23" x14ac:dyDescent="0.3">
      <c r="A60">
        <v>10059</v>
      </c>
      <c r="B60" t="s">
        <v>61</v>
      </c>
      <c r="C60" t="s">
        <v>175</v>
      </c>
      <c r="D60" t="s">
        <v>196</v>
      </c>
      <c r="E60" t="s">
        <v>211</v>
      </c>
      <c r="F60">
        <v>22</v>
      </c>
      <c r="G60">
        <v>80000</v>
      </c>
      <c r="H60" t="s">
        <v>225</v>
      </c>
      <c r="P60">
        <v>10059</v>
      </c>
      <c r="Q60" t="str">
        <f t="shared" si="0"/>
        <v>Mary Okafor</v>
      </c>
      <c r="R60" t="str">
        <f>_xlfn.XLOOKUP(C60,$AB$2:$AB$5,$AC$2:$AC$5,PROPER(TRIM(C60)))</f>
        <v>Ghana</v>
      </c>
      <c r="S60" t="str">
        <f t="shared" si="1"/>
        <v>Hr</v>
      </c>
      <c r="T60" t="str">
        <f t="shared" si="2"/>
        <v>Lagos</v>
      </c>
      <c r="U60" t="str">
        <f t="shared" si="3"/>
        <v>22</v>
      </c>
      <c r="V60">
        <f t="shared" si="4"/>
        <v>80000</v>
      </c>
      <c r="W60" t="str">
        <f t="shared" si="5"/>
        <v>Intern</v>
      </c>
    </row>
    <row r="61" spans="1:23" x14ac:dyDescent="0.3">
      <c r="A61">
        <v>10060</v>
      </c>
      <c r="B61" t="s">
        <v>62</v>
      </c>
      <c r="C61" t="s">
        <v>176</v>
      </c>
      <c r="D61" t="s">
        <v>191</v>
      </c>
      <c r="E61" t="s">
        <v>201</v>
      </c>
      <c r="F61">
        <v>24</v>
      </c>
      <c r="G61">
        <v>30000</v>
      </c>
      <c r="H61" t="s">
        <v>229</v>
      </c>
      <c r="P61">
        <v>10060</v>
      </c>
      <c r="Q61" t="str">
        <f t="shared" si="0"/>
        <v>Robert Brown</v>
      </c>
      <c r="R61" t="str">
        <f>_xlfn.XLOOKUP(C61,$AB$2:$AB$5,$AC$2:$AC$5,PROPER(TRIM(C61)))</f>
        <v>Nigeria</v>
      </c>
      <c r="S61" t="str">
        <f t="shared" si="1"/>
        <v>Finance</v>
      </c>
      <c r="T61" t="str">
        <f t="shared" si="2"/>
        <v>Johannesburg</v>
      </c>
      <c r="U61" t="str">
        <f t="shared" si="3"/>
        <v>24</v>
      </c>
      <c r="V61">
        <f t="shared" si="4"/>
        <v>30000</v>
      </c>
      <c r="W61" t="str">
        <f t="shared" si="5"/>
        <v>Contract</v>
      </c>
    </row>
    <row r="62" spans="1:23" x14ac:dyDescent="0.3">
      <c r="A62">
        <v>10061</v>
      </c>
      <c r="B62" t="s">
        <v>63</v>
      </c>
      <c r="C62" t="s">
        <v>175</v>
      </c>
      <c r="D62" t="s">
        <v>193</v>
      </c>
      <c r="E62" t="s">
        <v>204</v>
      </c>
      <c r="F62">
        <v>45</v>
      </c>
      <c r="G62">
        <v>50000</v>
      </c>
      <c r="H62" t="s">
        <v>231</v>
      </c>
      <c r="P62">
        <v>10061</v>
      </c>
      <c r="Q62" t="str">
        <f t="shared" si="0"/>
        <v>Peter Johnson</v>
      </c>
      <c r="R62" t="str">
        <f>_xlfn.XLOOKUP(C62,$AB$2:$AB$5,$AC$2:$AC$5,PROPER(TRIM(C62)))</f>
        <v>Ghana</v>
      </c>
      <c r="S62" t="str">
        <f t="shared" si="1"/>
        <v>Operations</v>
      </c>
      <c r="T62" t="str">
        <f t="shared" si="2"/>
        <v>Nairobi</v>
      </c>
      <c r="U62" t="str">
        <f t="shared" si="3"/>
        <v>45</v>
      </c>
      <c r="V62">
        <f t="shared" si="4"/>
        <v>50000</v>
      </c>
      <c r="W62" t="str">
        <f t="shared" si="5"/>
        <v>Contract</v>
      </c>
    </row>
    <row r="63" spans="1:23" x14ac:dyDescent="0.3">
      <c r="A63">
        <v>10062</v>
      </c>
      <c r="B63" t="s">
        <v>64</v>
      </c>
      <c r="C63" t="s">
        <v>182</v>
      </c>
      <c r="D63" t="s">
        <v>192</v>
      </c>
      <c r="E63" t="s">
        <v>211</v>
      </c>
      <c r="F63">
        <v>29</v>
      </c>
      <c r="G63">
        <v>55000</v>
      </c>
      <c r="H63" t="s">
        <v>228</v>
      </c>
      <c r="P63">
        <v>10062</v>
      </c>
      <c r="Q63" t="str">
        <f t="shared" si="0"/>
        <v>Michael Mensah</v>
      </c>
      <c r="R63" t="str">
        <f>_xlfn.XLOOKUP(C63,$AB$2:$AB$5,$AC$2:$AC$5,PROPER(TRIM(C63)))</f>
        <v>South Africa</v>
      </c>
      <c r="S63" t="str">
        <f t="shared" si="1"/>
        <v>Marketing</v>
      </c>
      <c r="T63" t="str">
        <f t="shared" si="2"/>
        <v>Lagos</v>
      </c>
      <c r="U63" t="str">
        <f t="shared" si="3"/>
        <v>29</v>
      </c>
      <c r="V63">
        <f t="shared" si="4"/>
        <v>55000</v>
      </c>
      <c r="W63" t="str">
        <f t="shared" si="5"/>
        <v>Part-Time</v>
      </c>
    </row>
    <row r="64" spans="1:23" x14ac:dyDescent="0.3">
      <c r="A64">
        <v>10063</v>
      </c>
      <c r="B64" t="s">
        <v>65</v>
      </c>
      <c r="C64" t="s">
        <v>180</v>
      </c>
      <c r="D64" t="s">
        <v>197</v>
      </c>
      <c r="E64" t="s">
        <v>204</v>
      </c>
      <c r="F64">
        <v>38</v>
      </c>
      <c r="G64">
        <v>80000</v>
      </c>
      <c r="H64" t="s">
        <v>225</v>
      </c>
      <c r="P64">
        <v>10063</v>
      </c>
      <c r="Q64" t="str">
        <f t="shared" si="0"/>
        <v>Michael Owusu</v>
      </c>
      <c r="R64" t="str">
        <f>_xlfn.XLOOKUP(C64,$AB$2:$AB$5,$AC$2:$AC$5,PROPER(TRIM(C64)))</f>
        <v>Ghana</v>
      </c>
      <c r="S64" t="str">
        <f t="shared" si="1"/>
        <v>It</v>
      </c>
      <c r="T64" t="str">
        <f t="shared" si="2"/>
        <v>Nairobi</v>
      </c>
      <c r="U64" t="str">
        <f t="shared" si="3"/>
        <v>38</v>
      </c>
      <c r="V64">
        <f t="shared" si="4"/>
        <v>80000</v>
      </c>
      <c r="W64" t="str">
        <f t="shared" si="5"/>
        <v>Intern</v>
      </c>
    </row>
    <row r="65" spans="1:23" x14ac:dyDescent="0.3">
      <c r="A65">
        <v>10064</v>
      </c>
      <c r="B65" t="s">
        <v>20</v>
      </c>
      <c r="C65" t="s">
        <v>175</v>
      </c>
      <c r="D65" t="s">
        <v>189</v>
      </c>
      <c r="E65" t="s">
        <v>202</v>
      </c>
      <c r="F65">
        <v>35</v>
      </c>
      <c r="G65" t="s">
        <v>215</v>
      </c>
      <c r="H65" t="s">
        <v>225</v>
      </c>
      <c r="P65">
        <v>10064</v>
      </c>
      <c r="Q65" t="str">
        <f t="shared" si="0"/>
        <v>John Kamau</v>
      </c>
      <c r="R65" t="str">
        <f>_xlfn.XLOOKUP(C65,$AB$2:$AB$5,$AC$2:$AC$5,PROPER(TRIM(C65)))</f>
        <v>Ghana</v>
      </c>
      <c r="S65" t="str">
        <f t="shared" si="1"/>
        <v>Operations</v>
      </c>
      <c r="T65" t="str">
        <f t="shared" si="2"/>
        <v>Kumasi</v>
      </c>
      <c r="U65" t="str">
        <f t="shared" si="3"/>
        <v>35</v>
      </c>
      <c r="V65">
        <f t="shared" si="4"/>
        <v>65000</v>
      </c>
      <c r="W65" t="str">
        <f t="shared" si="5"/>
        <v>Intern</v>
      </c>
    </row>
    <row r="66" spans="1:23" x14ac:dyDescent="0.3">
      <c r="A66">
        <v>10065</v>
      </c>
      <c r="B66" t="s">
        <v>66</v>
      </c>
      <c r="C66" t="s">
        <v>177</v>
      </c>
      <c r="D66" t="s">
        <v>187</v>
      </c>
      <c r="E66" t="s">
        <v>202</v>
      </c>
      <c r="F66">
        <v>43</v>
      </c>
      <c r="G66">
        <v>35000</v>
      </c>
      <c r="H66" t="s">
        <v>226</v>
      </c>
      <c r="P66">
        <v>10065</v>
      </c>
      <c r="Q66" t="str">
        <f t="shared" si="0"/>
        <v>Sarah Mensah</v>
      </c>
      <c r="R66" t="str">
        <f>_xlfn.XLOOKUP(C66,$AB$2:$AB$5,$AC$2:$AC$5,PROPER(TRIM(C66)))</f>
        <v>South Africa</v>
      </c>
      <c r="S66" t="str">
        <f t="shared" si="1"/>
        <v>It</v>
      </c>
      <c r="T66" t="str">
        <f t="shared" si="2"/>
        <v>Kumasi</v>
      </c>
      <c r="U66" t="str">
        <f t="shared" si="3"/>
        <v>43</v>
      </c>
      <c r="V66">
        <f t="shared" si="4"/>
        <v>35000</v>
      </c>
      <c r="W66" t="str">
        <f t="shared" si="5"/>
        <v>Full Time</v>
      </c>
    </row>
    <row r="67" spans="1:23" x14ac:dyDescent="0.3">
      <c r="A67">
        <v>10066</v>
      </c>
      <c r="B67" t="s">
        <v>67</v>
      </c>
      <c r="C67" t="s">
        <v>173</v>
      </c>
      <c r="D67" t="s">
        <v>195</v>
      </c>
      <c r="E67" t="s">
        <v>209</v>
      </c>
      <c r="F67">
        <v>56</v>
      </c>
      <c r="G67">
        <v>40000</v>
      </c>
      <c r="H67" t="s">
        <v>230</v>
      </c>
      <c r="P67">
        <v>10066</v>
      </c>
      <c r="Q67" t="str">
        <f t="shared" ref="Q67:Q130" si="6">PROPER(TRIM(B67))</f>
        <v>John Mensah</v>
      </c>
      <c r="R67" t="str">
        <f>_xlfn.XLOOKUP(C67,$AB$2:$AB$5,$AC$2:$AC$5,PROPER(TRIM(C67)))</f>
        <v>South Africa</v>
      </c>
      <c r="S67" t="str">
        <f t="shared" ref="S67:S130" si="7">PROPER(TRIM(D67))</f>
        <v>Sales</v>
      </c>
      <c r="T67" t="str">
        <f t="shared" ref="T67:T130" si="8">PROPER(TRIM(E67))</f>
        <v>Johannesburg</v>
      </c>
      <c r="U67" t="str">
        <f t="shared" ref="U67:U130" si="9">TRIM(F67)</f>
        <v>56</v>
      </c>
      <c r="V67">
        <f t="shared" ref="V67:V130" si="10">IF(OR(G67="N/A",G67=""),"",IF(ISNUMBER(G67),G67,IF(RIGHT(G67,1)="k",VALUE(SUBSTITUTE(G67,"k",""))*1000,VALUE(SUBSTITUTE(SUBSTITUTE(G67,"$",""),",","")))))</f>
        <v>40000</v>
      </c>
      <c r="W67" t="str">
        <f t="shared" ref="W67:W130" si="11">PROPER(TRIM(H67))</f>
        <v>Full-Time</v>
      </c>
    </row>
    <row r="68" spans="1:23" x14ac:dyDescent="0.3">
      <c r="A68">
        <v>10067</v>
      </c>
      <c r="B68" t="s">
        <v>20</v>
      </c>
      <c r="C68" t="s">
        <v>179</v>
      </c>
      <c r="E68" t="s">
        <v>201</v>
      </c>
      <c r="F68">
        <v>48</v>
      </c>
      <c r="G68">
        <v>35000</v>
      </c>
      <c r="H68" t="s">
        <v>228</v>
      </c>
      <c r="P68">
        <v>10067</v>
      </c>
      <c r="Q68" t="str">
        <f t="shared" si="6"/>
        <v>John Kamau</v>
      </c>
      <c r="R68" t="str">
        <f>_xlfn.XLOOKUP(C68,$AB$2:$AB$5,$AC$2:$AC$5,PROPER(TRIM(C68)))</f>
        <v>Kenya</v>
      </c>
      <c r="S68" t="str">
        <f t="shared" si="7"/>
        <v/>
      </c>
      <c r="T68" t="str">
        <f t="shared" si="8"/>
        <v>Johannesburg</v>
      </c>
      <c r="U68" t="str">
        <f t="shared" si="9"/>
        <v>48</v>
      </c>
      <c r="V68">
        <f t="shared" si="10"/>
        <v>35000</v>
      </c>
      <c r="W68" t="str">
        <f t="shared" si="11"/>
        <v>Part-Time</v>
      </c>
    </row>
    <row r="69" spans="1:23" x14ac:dyDescent="0.3">
      <c r="A69">
        <v>10068</v>
      </c>
      <c r="B69" t="s">
        <v>33</v>
      </c>
      <c r="C69" t="s">
        <v>184</v>
      </c>
      <c r="D69" t="s">
        <v>190</v>
      </c>
      <c r="E69" t="s">
        <v>207</v>
      </c>
      <c r="F69">
        <v>45</v>
      </c>
      <c r="G69">
        <v>65000</v>
      </c>
      <c r="H69" t="s">
        <v>228</v>
      </c>
      <c r="P69">
        <v>10068</v>
      </c>
      <c r="Q69" t="str">
        <f t="shared" si="6"/>
        <v>Robert Owusu</v>
      </c>
      <c r="R69" t="str">
        <f>_xlfn.XLOOKUP(C69,$AB$2:$AB$5,$AC$2:$AC$5,PROPER(TRIM(C69)))</f>
        <v>Ghana</v>
      </c>
      <c r="S69" t="str">
        <f t="shared" si="7"/>
        <v>Hr</v>
      </c>
      <c r="T69" t="str">
        <f t="shared" si="8"/>
        <v>Accra</v>
      </c>
      <c r="U69" t="str">
        <f t="shared" si="9"/>
        <v>45</v>
      </c>
      <c r="V69">
        <f t="shared" si="10"/>
        <v>65000</v>
      </c>
      <c r="W69" t="str">
        <f t="shared" si="11"/>
        <v>Part-Time</v>
      </c>
    </row>
    <row r="70" spans="1:23" x14ac:dyDescent="0.3">
      <c r="A70">
        <v>10069</v>
      </c>
      <c r="B70" t="s">
        <v>68</v>
      </c>
      <c r="C70" t="s">
        <v>182</v>
      </c>
      <c r="D70" t="s">
        <v>188</v>
      </c>
      <c r="E70" t="s">
        <v>208</v>
      </c>
      <c r="F70">
        <v>60</v>
      </c>
      <c r="G70">
        <v>60000</v>
      </c>
      <c r="H70" t="s">
        <v>227</v>
      </c>
      <c r="P70">
        <v>10069</v>
      </c>
      <c r="Q70" t="str">
        <f t="shared" si="6"/>
        <v>Kwame Adams</v>
      </c>
      <c r="R70" t="str">
        <f>_xlfn.XLOOKUP(C70,$AB$2:$AB$5,$AC$2:$AC$5,PROPER(TRIM(C70)))</f>
        <v>South Africa</v>
      </c>
      <c r="S70" t="str">
        <f t="shared" si="7"/>
        <v>Sales</v>
      </c>
      <c r="T70" t="str">
        <f t="shared" si="8"/>
        <v>Kumasi</v>
      </c>
      <c r="U70" t="str">
        <f t="shared" si="9"/>
        <v>60</v>
      </c>
      <c r="V70">
        <f t="shared" si="10"/>
        <v>60000</v>
      </c>
      <c r="W70" t="str">
        <f t="shared" si="11"/>
        <v>Part-Time</v>
      </c>
    </row>
    <row r="71" spans="1:23" x14ac:dyDescent="0.3">
      <c r="A71">
        <v>10070</v>
      </c>
      <c r="B71" t="s">
        <v>16</v>
      </c>
      <c r="C71" t="s">
        <v>180</v>
      </c>
      <c r="D71" t="s">
        <v>191</v>
      </c>
      <c r="E71" t="s">
        <v>206</v>
      </c>
      <c r="F71">
        <v>55</v>
      </c>
      <c r="G71" t="s">
        <v>216</v>
      </c>
      <c r="H71" t="s">
        <v>228</v>
      </c>
      <c r="P71">
        <v>10070</v>
      </c>
      <c r="Q71" t="str">
        <f t="shared" si="6"/>
        <v>Fatima Kamau</v>
      </c>
      <c r="R71" t="str">
        <f>_xlfn.XLOOKUP(C71,$AB$2:$AB$5,$AC$2:$AC$5,PROPER(TRIM(C71)))</f>
        <v>Ghana</v>
      </c>
      <c r="S71" t="str">
        <f t="shared" si="7"/>
        <v>Finance</v>
      </c>
      <c r="T71" t="str">
        <f t="shared" si="8"/>
        <v>Tema</v>
      </c>
      <c r="U71" t="str">
        <f t="shared" si="9"/>
        <v>55</v>
      </c>
      <c r="V71" t="str">
        <f t="shared" si="10"/>
        <v/>
      </c>
      <c r="W71" t="str">
        <f t="shared" si="11"/>
        <v>Part-Time</v>
      </c>
    </row>
    <row r="72" spans="1:23" x14ac:dyDescent="0.3">
      <c r="A72">
        <v>10071</v>
      </c>
      <c r="B72" t="s">
        <v>69</v>
      </c>
      <c r="C72" t="s">
        <v>184</v>
      </c>
      <c r="D72" t="s">
        <v>198</v>
      </c>
      <c r="F72">
        <v>55</v>
      </c>
      <c r="G72">
        <v>35000</v>
      </c>
      <c r="H72" t="s">
        <v>230</v>
      </c>
      <c r="P72">
        <v>10071</v>
      </c>
      <c r="Q72" t="str">
        <f t="shared" si="6"/>
        <v>Emma Kamau</v>
      </c>
      <c r="R72" t="str">
        <f>_xlfn.XLOOKUP(C72,$AB$2:$AB$5,$AC$2:$AC$5,PROPER(TRIM(C72)))</f>
        <v>Ghana</v>
      </c>
      <c r="S72" t="str">
        <f t="shared" si="7"/>
        <v>Sales</v>
      </c>
      <c r="T72" t="str">
        <f t="shared" si="8"/>
        <v/>
      </c>
      <c r="U72" t="str">
        <f t="shared" si="9"/>
        <v>55</v>
      </c>
      <c r="V72">
        <f t="shared" si="10"/>
        <v>35000</v>
      </c>
      <c r="W72" t="str">
        <f t="shared" si="11"/>
        <v>Full-Time</v>
      </c>
    </row>
    <row r="73" spans="1:23" x14ac:dyDescent="0.3">
      <c r="A73">
        <v>10072</v>
      </c>
      <c r="B73" t="s">
        <v>70</v>
      </c>
      <c r="C73" t="s">
        <v>183</v>
      </c>
      <c r="D73" t="s">
        <v>192</v>
      </c>
      <c r="E73" t="s">
        <v>201</v>
      </c>
      <c r="F73">
        <v>32</v>
      </c>
      <c r="G73">
        <v>60000</v>
      </c>
      <c r="H73" t="s">
        <v>230</v>
      </c>
      <c r="P73">
        <v>10072</v>
      </c>
      <c r="Q73" t="str">
        <f t="shared" si="6"/>
        <v>Grace Kamau</v>
      </c>
      <c r="R73" t="str">
        <f>_xlfn.XLOOKUP(C73,$AB$2:$AB$5,$AC$2:$AC$5,PROPER(TRIM(C73)))</f>
        <v>Nigeria</v>
      </c>
      <c r="S73" t="str">
        <f t="shared" si="7"/>
        <v>Marketing</v>
      </c>
      <c r="T73" t="str">
        <f t="shared" si="8"/>
        <v>Johannesburg</v>
      </c>
      <c r="U73" t="str">
        <f t="shared" si="9"/>
        <v>32</v>
      </c>
      <c r="V73">
        <f t="shared" si="10"/>
        <v>60000</v>
      </c>
      <c r="W73" t="str">
        <f t="shared" si="11"/>
        <v>Full-Time</v>
      </c>
    </row>
    <row r="74" spans="1:23" x14ac:dyDescent="0.3">
      <c r="A74">
        <v>10073</v>
      </c>
      <c r="B74" t="s">
        <v>49</v>
      </c>
      <c r="C74" t="s">
        <v>182</v>
      </c>
      <c r="D74" t="s">
        <v>198</v>
      </c>
      <c r="E74" t="s">
        <v>207</v>
      </c>
      <c r="F74">
        <v>39</v>
      </c>
      <c r="G74">
        <v>70000</v>
      </c>
      <c r="H74" t="s">
        <v>229</v>
      </c>
      <c r="P74">
        <v>10073</v>
      </c>
      <c r="Q74" t="str">
        <f t="shared" si="6"/>
        <v>David Miller</v>
      </c>
      <c r="R74" t="str">
        <f>_xlfn.XLOOKUP(C74,$AB$2:$AB$5,$AC$2:$AC$5,PROPER(TRIM(C74)))</f>
        <v>South Africa</v>
      </c>
      <c r="S74" t="str">
        <f t="shared" si="7"/>
        <v>Sales</v>
      </c>
      <c r="T74" t="str">
        <f t="shared" si="8"/>
        <v>Accra</v>
      </c>
      <c r="U74" t="str">
        <f t="shared" si="9"/>
        <v>39</v>
      </c>
      <c r="V74">
        <f t="shared" si="10"/>
        <v>70000</v>
      </c>
      <c r="W74" t="str">
        <f t="shared" si="11"/>
        <v>Contract</v>
      </c>
    </row>
    <row r="75" spans="1:23" x14ac:dyDescent="0.3">
      <c r="A75">
        <v>10074</v>
      </c>
      <c r="B75" t="s">
        <v>71</v>
      </c>
      <c r="C75" t="s">
        <v>185</v>
      </c>
      <c r="D75" t="s">
        <v>199</v>
      </c>
      <c r="E75" t="s">
        <v>201</v>
      </c>
      <c r="F75">
        <v>60</v>
      </c>
      <c r="G75">
        <v>40000</v>
      </c>
      <c r="H75" t="s">
        <v>227</v>
      </c>
      <c r="P75">
        <v>10074</v>
      </c>
      <c r="Q75" t="str">
        <f t="shared" si="6"/>
        <v>Ama Smith</v>
      </c>
      <c r="R75" t="str">
        <f>_xlfn.XLOOKUP(C75,$AB$2:$AB$5,$AC$2:$AC$5,PROPER(TRIM(C75)))</f>
        <v>Ghana</v>
      </c>
      <c r="S75" t="str">
        <f t="shared" si="7"/>
        <v>Marketing</v>
      </c>
      <c r="T75" t="str">
        <f t="shared" si="8"/>
        <v>Johannesburg</v>
      </c>
      <c r="U75" t="str">
        <f t="shared" si="9"/>
        <v>60</v>
      </c>
      <c r="V75">
        <f t="shared" si="10"/>
        <v>40000</v>
      </c>
      <c r="W75" t="str">
        <f t="shared" si="11"/>
        <v>Part-Time</v>
      </c>
    </row>
    <row r="76" spans="1:23" x14ac:dyDescent="0.3">
      <c r="A76">
        <v>10075</v>
      </c>
      <c r="B76" t="s">
        <v>72</v>
      </c>
      <c r="C76" t="s">
        <v>177</v>
      </c>
      <c r="D76" t="s">
        <v>199</v>
      </c>
      <c r="E76" t="s">
        <v>208</v>
      </c>
      <c r="F76">
        <v>250</v>
      </c>
      <c r="G76">
        <v>50000</v>
      </c>
      <c r="H76" t="s">
        <v>228</v>
      </c>
      <c r="P76">
        <v>10075</v>
      </c>
      <c r="Q76" t="str">
        <f t="shared" si="6"/>
        <v>Emma Okafor</v>
      </c>
      <c r="R76" t="str">
        <f>_xlfn.XLOOKUP(C76,$AB$2:$AB$5,$AC$2:$AC$5,PROPER(TRIM(C76)))</f>
        <v>South Africa</v>
      </c>
      <c r="S76" t="str">
        <f t="shared" si="7"/>
        <v>Marketing</v>
      </c>
      <c r="T76" t="str">
        <f t="shared" si="8"/>
        <v>Kumasi</v>
      </c>
      <c r="U76" t="str">
        <f t="shared" si="9"/>
        <v>250</v>
      </c>
      <c r="V76">
        <f t="shared" si="10"/>
        <v>50000</v>
      </c>
      <c r="W76" t="str">
        <f t="shared" si="11"/>
        <v>Part-Time</v>
      </c>
    </row>
    <row r="77" spans="1:23" x14ac:dyDescent="0.3">
      <c r="A77">
        <v>10076</v>
      </c>
      <c r="B77" t="s">
        <v>49</v>
      </c>
      <c r="C77" t="s">
        <v>180</v>
      </c>
      <c r="D77" t="s">
        <v>187</v>
      </c>
      <c r="E77" t="s">
        <v>206</v>
      </c>
      <c r="F77">
        <v>55</v>
      </c>
      <c r="H77" t="s">
        <v>231</v>
      </c>
      <c r="P77">
        <v>10076</v>
      </c>
      <c r="Q77" t="str">
        <f t="shared" si="6"/>
        <v>David Miller</v>
      </c>
      <c r="R77" t="str">
        <f>_xlfn.XLOOKUP(C77,$AB$2:$AB$5,$AC$2:$AC$5,PROPER(TRIM(C77)))</f>
        <v>Ghana</v>
      </c>
      <c r="S77" t="str">
        <f t="shared" si="7"/>
        <v>It</v>
      </c>
      <c r="T77" t="str">
        <f t="shared" si="8"/>
        <v>Tema</v>
      </c>
      <c r="U77" t="str">
        <f t="shared" si="9"/>
        <v>55</v>
      </c>
      <c r="V77" t="str">
        <f t="shared" si="10"/>
        <v/>
      </c>
      <c r="W77" t="str">
        <f t="shared" si="11"/>
        <v>Contract</v>
      </c>
    </row>
    <row r="78" spans="1:23" x14ac:dyDescent="0.3">
      <c r="A78">
        <v>10077</v>
      </c>
      <c r="B78" t="s">
        <v>73</v>
      </c>
      <c r="C78" t="s">
        <v>183</v>
      </c>
      <c r="D78" t="s">
        <v>189</v>
      </c>
      <c r="E78" t="s">
        <v>206</v>
      </c>
      <c r="F78">
        <v>58</v>
      </c>
      <c r="G78">
        <v>80000</v>
      </c>
      <c r="H78" t="s">
        <v>228</v>
      </c>
      <c r="P78">
        <v>10077</v>
      </c>
      <c r="Q78" t="str">
        <f t="shared" si="6"/>
        <v>Mary Miller</v>
      </c>
      <c r="R78" t="str">
        <f>_xlfn.XLOOKUP(C78,$AB$2:$AB$5,$AC$2:$AC$5,PROPER(TRIM(C78)))</f>
        <v>Nigeria</v>
      </c>
      <c r="S78" t="str">
        <f t="shared" si="7"/>
        <v>Operations</v>
      </c>
      <c r="T78" t="str">
        <f t="shared" si="8"/>
        <v>Tema</v>
      </c>
      <c r="U78" t="str">
        <f t="shared" si="9"/>
        <v>58</v>
      </c>
      <c r="V78">
        <f t="shared" si="10"/>
        <v>80000</v>
      </c>
      <c r="W78" t="str">
        <f t="shared" si="11"/>
        <v>Part-Time</v>
      </c>
    </row>
    <row r="79" spans="1:23" x14ac:dyDescent="0.3">
      <c r="A79">
        <v>10078</v>
      </c>
      <c r="B79" t="s">
        <v>74</v>
      </c>
      <c r="C79" t="s">
        <v>173</v>
      </c>
      <c r="D79" t="s">
        <v>187</v>
      </c>
      <c r="E79" t="s">
        <v>209</v>
      </c>
      <c r="F79">
        <v>37</v>
      </c>
      <c r="G79">
        <v>70000</v>
      </c>
      <c r="H79" t="s">
        <v>224</v>
      </c>
      <c r="P79">
        <v>10078</v>
      </c>
      <c r="Q79" t="str">
        <f t="shared" si="6"/>
        <v>David Okafor</v>
      </c>
      <c r="R79" t="str">
        <f>_xlfn.XLOOKUP(C79,$AB$2:$AB$5,$AC$2:$AC$5,PROPER(TRIM(C79)))</f>
        <v>South Africa</v>
      </c>
      <c r="S79" t="str">
        <f t="shared" si="7"/>
        <v>It</v>
      </c>
      <c r="T79" t="str">
        <f t="shared" si="8"/>
        <v>Johannesburg</v>
      </c>
      <c r="U79" t="str">
        <f t="shared" si="9"/>
        <v>37</v>
      </c>
      <c r="V79">
        <f t="shared" si="10"/>
        <v>70000</v>
      </c>
      <c r="W79" t="str">
        <f t="shared" si="11"/>
        <v>Full-Time</v>
      </c>
    </row>
    <row r="80" spans="1:23" x14ac:dyDescent="0.3">
      <c r="A80">
        <v>10079</v>
      </c>
      <c r="B80" t="s">
        <v>75</v>
      </c>
      <c r="C80" t="s">
        <v>173</v>
      </c>
      <c r="D80" t="s">
        <v>196</v>
      </c>
      <c r="E80" t="s">
        <v>211</v>
      </c>
      <c r="F80">
        <v>-5</v>
      </c>
      <c r="G80">
        <v>65000</v>
      </c>
      <c r="H80" t="s">
        <v>224</v>
      </c>
      <c r="P80">
        <v>10079</v>
      </c>
      <c r="Q80" t="str">
        <f t="shared" si="6"/>
        <v>Brian Mensah</v>
      </c>
      <c r="R80" t="str">
        <f>_xlfn.XLOOKUP(C80,$AB$2:$AB$5,$AC$2:$AC$5,PROPER(TRIM(C80)))</f>
        <v>South Africa</v>
      </c>
      <c r="S80" t="str">
        <f t="shared" si="7"/>
        <v>Hr</v>
      </c>
      <c r="T80" t="str">
        <f t="shared" si="8"/>
        <v>Lagos</v>
      </c>
      <c r="U80" t="str">
        <f t="shared" si="9"/>
        <v>-5</v>
      </c>
      <c r="V80">
        <f t="shared" si="10"/>
        <v>65000</v>
      </c>
      <c r="W80" t="str">
        <f t="shared" si="11"/>
        <v>Full-Time</v>
      </c>
    </row>
    <row r="81" spans="1:23" x14ac:dyDescent="0.3">
      <c r="A81">
        <v>10080</v>
      </c>
      <c r="B81" t="s">
        <v>76</v>
      </c>
      <c r="C81" t="s">
        <v>174</v>
      </c>
      <c r="D81" t="s">
        <v>197</v>
      </c>
      <c r="E81" t="s">
        <v>203</v>
      </c>
      <c r="F81">
        <v>24</v>
      </c>
      <c r="G81">
        <v>50000</v>
      </c>
      <c r="H81" t="s">
        <v>229</v>
      </c>
      <c r="P81">
        <v>10080</v>
      </c>
      <c r="Q81" t="str">
        <f t="shared" si="6"/>
        <v>Emma Owusu</v>
      </c>
      <c r="R81" t="str">
        <f>_xlfn.XLOOKUP(C81,$AB$2:$AB$5,$AC$2:$AC$5,PROPER(TRIM(C81)))</f>
        <v>Kenya</v>
      </c>
      <c r="S81" t="str">
        <f t="shared" si="7"/>
        <v>It</v>
      </c>
      <c r="T81" t="str">
        <f t="shared" si="8"/>
        <v>Accra</v>
      </c>
      <c r="U81" t="str">
        <f t="shared" si="9"/>
        <v>24</v>
      </c>
      <c r="V81">
        <f t="shared" si="10"/>
        <v>50000</v>
      </c>
      <c r="W81" t="str">
        <f t="shared" si="11"/>
        <v>Contract</v>
      </c>
    </row>
    <row r="82" spans="1:23" x14ac:dyDescent="0.3">
      <c r="A82">
        <v>10081</v>
      </c>
      <c r="B82" t="s">
        <v>77</v>
      </c>
      <c r="C82" t="s">
        <v>173</v>
      </c>
      <c r="D82" t="s">
        <v>198</v>
      </c>
      <c r="E82" t="s">
        <v>205</v>
      </c>
      <c r="F82">
        <v>36</v>
      </c>
      <c r="G82">
        <v>60000</v>
      </c>
      <c r="H82" t="s">
        <v>230</v>
      </c>
      <c r="P82">
        <v>10081</v>
      </c>
      <c r="Q82" t="str">
        <f t="shared" si="6"/>
        <v>Robert Kamau</v>
      </c>
      <c r="R82" t="str">
        <f>_xlfn.XLOOKUP(C82,$AB$2:$AB$5,$AC$2:$AC$5,PROPER(TRIM(C82)))</f>
        <v>South Africa</v>
      </c>
      <c r="S82" t="str">
        <f t="shared" si="7"/>
        <v>Sales</v>
      </c>
      <c r="T82" t="str">
        <f t="shared" si="8"/>
        <v>Tema</v>
      </c>
      <c r="U82" t="str">
        <f t="shared" si="9"/>
        <v>36</v>
      </c>
      <c r="V82">
        <f t="shared" si="10"/>
        <v>60000</v>
      </c>
      <c r="W82" t="str">
        <f t="shared" si="11"/>
        <v>Full-Time</v>
      </c>
    </row>
    <row r="83" spans="1:23" x14ac:dyDescent="0.3">
      <c r="A83">
        <v>10082</v>
      </c>
      <c r="B83" t="s">
        <v>54</v>
      </c>
      <c r="C83" t="s">
        <v>180</v>
      </c>
      <c r="D83" t="s">
        <v>196</v>
      </c>
      <c r="E83" t="s">
        <v>201</v>
      </c>
      <c r="F83">
        <v>50</v>
      </c>
      <c r="G83">
        <v>40000</v>
      </c>
      <c r="H83" t="s">
        <v>228</v>
      </c>
      <c r="P83">
        <v>10082</v>
      </c>
      <c r="Q83" t="str">
        <f t="shared" si="6"/>
        <v>Ama Johnson</v>
      </c>
      <c r="R83" t="str">
        <f>_xlfn.XLOOKUP(C83,$AB$2:$AB$5,$AC$2:$AC$5,PROPER(TRIM(C83)))</f>
        <v>Ghana</v>
      </c>
      <c r="S83" t="str">
        <f t="shared" si="7"/>
        <v>Hr</v>
      </c>
      <c r="T83" t="str">
        <f t="shared" si="8"/>
        <v>Johannesburg</v>
      </c>
      <c r="U83" t="str">
        <f t="shared" si="9"/>
        <v>50</v>
      </c>
      <c r="V83">
        <f t="shared" si="10"/>
        <v>40000</v>
      </c>
      <c r="W83" t="str">
        <f t="shared" si="11"/>
        <v>Part-Time</v>
      </c>
    </row>
    <row r="84" spans="1:23" x14ac:dyDescent="0.3">
      <c r="A84">
        <v>10083</v>
      </c>
      <c r="B84" t="s">
        <v>78</v>
      </c>
      <c r="C84" t="s">
        <v>183</v>
      </c>
      <c r="D84" t="s">
        <v>187</v>
      </c>
      <c r="E84" t="s">
        <v>204</v>
      </c>
      <c r="G84">
        <v>40000</v>
      </c>
      <c r="H84" t="s">
        <v>231</v>
      </c>
      <c r="P84">
        <v>10083</v>
      </c>
      <c r="Q84" t="str">
        <f t="shared" si="6"/>
        <v>Brian Williams</v>
      </c>
      <c r="R84" t="str">
        <f>_xlfn.XLOOKUP(C84,$AB$2:$AB$5,$AC$2:$AC$5,PROPER(TRIM(C84)))</f>
        <v>Nigeria</v>
      </c>
      <c r="S84" t="str">
        <f t="shared" si="7"/>
        <v>It</v>
      </c>
      <c r="T84" t="str">
        <f t="shared" si="8"/>
        <v>Nairobi</v>
      </c>
      <c r="U84" t="str">
        <f t="shared" si="9"/>
        <v/>
      </c>
      <c r="V84">
        <f t="shared" si="10"/>
        <v>40000</v>
      </c>
      <c r="W84" t="str">
        <f t="shared" si="11"/>
        <v>Contract</v>
      </c>
    </row>
    <row r="85" spans="1:23" x14ac:dyDescent="0.3">
      <c r="A85">
        <v>10084</v>
      </c>
      <c r="B85" t="s">
        <v>53</v>
      </c>
      <c r="C85" t="s">
        <v>177</v>
      </c>
      <c r="D85" t="s">
        <v>197</v>
      </c>
      <c r="E85" t="s">
        <v>202</v>
      </c>
      <c r="F85">
        <v>47</v>
      </c>
      <c r="G85">
        <v>65000</v>
      </c>
      <c r="H85" t="s">
        <v>228</v>
      </c>
      <c r="P85">
        <v>10084</v>
      </c>
      <c r="Q85" t="str">
        <f t="shared" si="6"/>
        <v>David Owusu</v>
      </c>
      <c r="R85" t="str">
        <f>_xlfn.XLOOKUP(C85,$AB$2:$AB$5,$AC$2:$AC$5,PROPER(TRIM(C85)))</f>
        <v>South Africa</v>
      </c>
      <c r="S85" t="str">
        <f t="shared" si="7"/>
        <v>It</v>
      </c>
      <c r="T85" t="str">
        <f t="shared" si="8"/>
        <v>Kumasi</v>
      </c>
      <c r="U85" t="str">
        <f t="shared" si="9"/>
        <v>47</v>
      </c>
      <c r="V85">
        <f t="shared" si="10"/>
        <v>65000</v>
      </c>
      <c r="W85" t="str">
        <f t="shared" si="11"/>
        <v>Part-Time</v>
      </c>
    </row>
    <row r="86" spans="1:23" x14ac:dyDescent="0.3">
      <c r="A86">
        <v>10085</v>
      </c>
      <c r="B86" t="s">
        <v>72</v>
      </c>
      <c r="C86" t="s">
        <v>185</v>
      </c>
      <c r="D86" t="s">
        <v>195</v>
      </c>
      <c r="E86" t="s">
        <v>201</v>
      </c>
      <c r="F86">
        <v>44</v>
      </c>
      <c r="G86">
        <v>65000</v>
      </c>
      <c r="H86" t="s">
        <v>230</v>
      </c>
      <c r="P86">
        <v>10085</v>
      </c>
      <c r="Q86" t="str">
        <f t="shared" si="6"/>
        <v>Emma Okafor</v>
      </c>
      <c r="R86" t="str">
        <f>_xlfn.XLOOKUP(C86,$AB$2:$AB$5,$AC$2:$AC$5,PROPER(TRIM(C86)))</f>
        <v>Ghana</v>
      </c>
      <c r="S86" t="str">
        <f t="shared" si="7"/>
        <v>Sales</v>
      </c>
      <c r="T86" t="str">
        <f t="shared" si="8"/>
        <v>Johannesburg</v>
      </c>
      <c r="U86" t="str">
        <f t="shared" si="9"/>
        <v>44</v>
      </c>
      <c r="V86">
        <f t="shared" si="10"/>
        <v>65000</v>
      </c>
      <c r="W86" t="str">
        <f t="shared" si="11"/>
        <v>Full-Time</v>
      </c>
    </row>
    <row r="87" spans="1:23" x14ac:dyDescent="0.3">
      <c r="A87">
        <v>10086</v>
      </c>
      <c r="B87" t="s">
        <v>79</v>
      </c>
      <c r="C87" t="s">
        <v>176</v>
      </c>
      <c r="D87" t="s">
        <v>197</v>
      </c>
      <c r="E87" t="s">
        <v>201</v>
      </c>
      <c r="F87">
        <v>51</v>
      </c>
      <c r="G87">
        <v>50000</v>
      </c>
      <c r="H87" t="s">
        <v>225</v>
      </c>
      <c r="P87">
        <v>10086</v>
      </c>
      <c r="Q87" t="str">
        <f t="shared" si="6"/>
        <v>Daniel Brown</v>
      </c>
      <c r="R87" t="str">
        <f>_xlfn.XLOOKUP(C87,$AB$2:$AB$5,$AC$2:$AC$5,PROPER(TRIM(C87)))</f>
        <v>Nigeria</v>
      </c>
      <c r="S87" t="str">
        <f t="shared" si="7"/>
        <v>It</v>
      </c>
      <c r="T87" t="str">
        <f t="shared" si="8"/>
        <v>Johannesburg</v>
      </c>
      <c r="U87" t="str">
        <f t="shared" si="9"/>
        <v>51</v>
      </c>
      <c r="V87">
        <f t="shared" si="10"/>
        <v>50000</v>
      </c>
      <c r="W87" t="str">
        <f t="shared" si="11"/>
        <v>Intern</v>
      </c>
    </row>
    <row r="88" spans="1:23" x14ac:dyDescent="0.3">
      <c r="B88" t="s">
        <v>80</v>
      </c>
      <c r="C88" t="s">
        <v>180</v>
      </c>
      <c r="D88" t="s">
        <v>195</v>
      </c>
      <c r="E88" t="s">
        <v>208</v>
      </c>
      <c r="F88">
        <v>39</v>
      </c>
      <c r="G88">
        <v>70000</v>
      </c>
      <c r="H88" t="s">
        <v>224</v>
      </c>
      <c r="Q88" t="str">
        <f t="shared" si="6"/>
        <v>Linda Brown</v>
      </c>
      <c r="R88" t="str">
        <f>_xlfn.XLOOKUP(C88,$AB$2:$AB$5,$AC$2:$AC$5,PROPER(TRIM(C88)))</f>
        <v>Ghana</v>
      </c>
      <c r="S88" t="str">
        <f t="shared" si="7"/>
        <v>Sales</v>
      </c>
      <c r="T88" t="str">
        <f t="shared" si="8"/>
        <v>Kumasi</v>
      </c>
      <c r="U88" t="str">
        <f t="shared" si="9"/>
        <v>39</v>
      </c>
      <c r="V88">
        <f t="shared" si="10"/>
        <v>70000</v>
      </c>
      <c r="W88" t="str">
        <f t="shared" si="11"/>
        <v>Full-Time</v>
      </c>
    </row>
    <row r="89" spans="1:23" x14ac:dyDescent="0.3">
      <c r="A89">
        <v>10088</v>
      </c>
      <c r="B89" t="s">
        <v>81</v>
      </c>
      <c r="C89" t="s">
        <v>185</v>
      </c>
      <c r="D89" t="s">
        <v>198</v>
      </c>
      <c r="E89" t="s">
        <v>206</v>
      </c>
      <c r="F89">
        <v>22</v>
      </c>
      <c r="G89">
        <v>60000</v>
      </c>
      <c r="H89" t="s">
        <v>230</v>
      </c>
      <c r="P89">
        <v>10088</v>
      </c>
      <c r="Q89" t="str">
        <f t="shared" si="6"/>
        <v>James Miller</v>
      </c>
      <c r="R89" t="str">
        <f>_xlfn.XLOOKUP(C89,$AB$2:$AB$5,$AC$2:$AC$5,PROPER(TRIM(C89)))</f>
        <v>Ghana</v>
      </c>
      <c r="S89" t="str">
        <f t="shared" si="7"/>
        <v>Sales</v>
      </c>
      <c r="T89" t="str">
        <f t="shared" si="8"/>
        <v>Tema</v>
      </c>
      <c r="U89" t="str">
        <f t="shared" si="9"/>
        <v>22</v>
      </c>
      <c r="V89">
        <f t="shared" si="10"/>
        <v>60000</v>
      </c>
      <c r="W89" t="str">
        <f t="shared" si="11"/>
        <v>Full-Time</v>
      </c>
    </row>
    <row r="90" spans="1:23" x14ac:dyDescent="0.3">
      <c r="A90">
        <v>10089</v>
      </c>
      <c r="B90" t="s">
        <v>27</v>
      </c>
      <c r="C90" t="s">
        <v>181</v>
      </c>
      <c r="D90" t="s">
        <v>196</v>
      </c>
      <c r="E90" t="s">
        <v>201</v>
      </c>
      <c r="F90">
        <v>43</v>
      </c>
      <c r="G90">
        <v>50000</v>
      </c>
      <c r="H90" t="s">
        <v>225</v>
      </c>
      <c r="P90">
        <v>10089</v>
      </c>
      <c r="Q90" t="str">
        <f t="shared" si="6"/>
        <v>Linda Adams</v>
      </c>
      <c r="R90" t="str">
        <f>_xlfn.XLOOKUP(C90,$AB$2:$AB$5,$AC$2:$AC$5,PROPER(TRIM(C90)))</f>
        <v>Nigeria</v>
      </c>
      <c r="S90" t="str">
        <f t="shared" si="7"/>
        <v>Hr</v>
      </c>
      <c r="T90" t="str">
        <f t="shared" si="8"/>
        <v>Johannesburg</v>
      </c>
      <c r="U90" t="str">
        <f t="shared" si="9"/>
        <v>43</v>
      </c>
      <c r="V90">
        <f t="shared" si="10"/>
        <v>50000</v>
      </c>
      <c r="W90" t="str">
        <f t="shared" si="11"/>
        <v>Intern</v>
      </c>
    </row>
    <row r="91" spans="1:23" x14ac:dyDescent="0.3">
      <c r="A91">
        <v>10090</v>
      </c>
      <c r="B91" t="s">
        <v>82</v>
      </c>
      <c r="C91" t="s">
        <v>181</v>
      </c>
      <c r="D91" t="s">
        <v>197</v>
      </c>
      <c r="E91" t="s">
        <v>201</v>
      </c>
      <c r="F91">
        <v>47</v>
      </c>
      <c r="G91">
        <v>50000</v>
      </c>
      <c r="H91" t="s">
        <v>230</v>
      </c>
      <c r="P91">
        <v>10090</v>
      </c>
      <c r="Q91" t="str">
        <f t="shared" si="6"/>
        <v>Michael Adams</v>
      </c>
      <c r="R91" t="str">
        <f>_xlfn.XLOOKUP(C91,$AB$2:$AB$5,$AC$2:$AC$5,PROPER(TRIM(C91)))</f>
        <v>Nigeria</v>
      </c>
      <c r="S91" t="str">
        <f t="shared" si="7"/>
        <v>It</v>
      </c>
      <c r="T91" t="str">
        <f t="shared" si="8"/>
        <v>Johannesburg</v>
      </c>
      <c r="U91" t="str">
        <f t="shared" si="9"/>
        <v>47</v>
      </c>
      <c r="V91">
        <f t="shared" si="10"/>
        <v>50000</v>
      </c>
      <c r="W91" t="str">
        <f t="shared" si="11"/>
        <v>Full-Time</v>
      </c>
    </row>
    <row r="92" spans="1:23" x14ac:dyDescent="0.3">
      <c r="A92">
        <v>10091</v>
      </c>
      <c r="B92" t="s">
        <v>83</v>
      </c>
      <c r="C92" t="s">
        <v>185</v>
      </c>
      <c r="D92" t="s">
        <v>191</v>
      </c>
      <c r="E92" t="s">
        <v>207</v>
      </c>
      <c r="F92">
        <v>39</v>
      </c>
      <c r="G92" t="s">
        <v>214</v>
      </c>
      <c r="H92" t="s">
        <v>228</v>
      </c>
      <c r="P92">
        <v>10091</v>
      </c>
      <c r="Q92" t="str">
        <f t="shared" si="6"/>
        <v>Michael Williams</v>
      </c>
      <c r="R92" t="str">
        <f>_xlfn.XLOOKUP(C92,$AB$2:$AB$5,$AC$2:$AC$5,PROPER(TRIM(C92)))</f>
        <v>Ghana</v>
      </c>
      <c r="S92" t="str">
        <f t="shared" si="7"/>
        <v>Finance</v>
      </c>
      <c r="T92" t="str">
        <f t="shared" si="8"/>
        <v>Accra</v>
      </c>
      <c r="U92" t="str">
        <f t="shared" si="9"/>
        <v>39</v>
      </c>
      <c r="V92">
        <f t="shared" si="10"/>
        <v>40000</v>
      </c>
      <c r="W92" t="str">
        <f t="shared" si="11"/>
        <v>Part-Time</v>
      </c>
    </row>
    <row r="93" spans="1:23" x14ac:dyDescent="0.3">
      <c r="A93">
        <v>10092</v>
      </c>
      <c r="B93" t="s">
        <v>84</v>
      </c>
      <c r="C93" t="s">
        <v>184</v>
      </c>
      <c r="D93" t="s">
        <v>192</v>
      </c>
      <c r="E93" t="s">
        <v>210</v>
      </c>
      <c r="F93">
        <v>21</v>
      </c>
      <c r="G93">
        <v>80000</v>
      </c>
      <c r="H93" t="s">
        <v>225</v>
      </c>
      <c r="P93">
        <v>10092</v>
      </c>
      <c r="Q93" t="str">
        <f t="shared" si="6"/>
        <v>Daniel Owusu</v>
      </c>
      <c r="R93" t="str">
        <f>_xlfn.XLOOKUP(C93,$AB$2:$AB$5,$AC$2:$AC$5,PROPER(TRIM(C93)))</f>
        <v>Ghana</v>
      </c>
      <c r="S93" t="str">
        <f t="shared" si="7"/>
        <v>Marketing</v>
      </c>
      <c r="T93" t="str">
        <f t="shared" si="8"/>
        <v>Nairobi</v>
      </c>
      <c r="U93" t="str">
        <f t="shared" si="9"/>
        <v>21</v>
      </c>
      <c r="V93">
        <f t="shared" si="10"/>
        <v>80000</v>
      </c>
      <c r="W93" t="str">
        <f t="shared" si="11"/>
        <v>Intern</v>
      </c>
    </row>
    <row r="94" spans="1:23" x14ac:dyDescent="0.3">
      <c r="A94">
        <v>10093</v>
      </c>
      <c r="B94" t="s">
        <v>85</v>
      </c>
      <c r="C94" t="s">
        <v>183</v>
      </c>
      <c r="D94" t="s">
        <v>194</v>
      </c>
      <c r="E94" t="s">
        <v>207</v>
      </c>
      <c r="F94">
        <v>20</v>
      </c>
      <c r="G94">
        <v>35000</v>
      </c>
      <c r="H94" t="s">
        <v>225</v>
      </c>
      <c r="P94">
        <v>10093</v>
      </c>
      <c r="Q94" t="str">
        <f t="shared" si="6"/>
        <v>Fatima Brown</v>
      </c>
      <c r="R94" t="str">
        <f>_xlfn.XLOOKUP(C94,$AB$2:$AB$5,$AC$2:$AC$5,PROPER(TRIM(C94)))</f>
        <v>Nigeria</v>
      </c>
      <c r="S94" t="str">
        <f t="shared" si="7"/>
        <v>Finance</v>
      </c>
      <c r="T94" t="str">
        <f t="shared" si="8"/>
        <v>Accra</v>
      </c>
      <c r="U94" t="str">
        <f t="shared" si="9"/>
        <v>20</v>
      </c>
      <c r="V94">
        <f t="shared" si="10"/>
        <v>35000</v>
      </c>
      <c r="W94" t="str">
        <f t="shared" si="11"/>
        <v>Intern</v>
      </c>
    </row>
    <row r="95" spans="1:23" x14ac:dyDescent="0.3">
      <c r="A95">
        <v>10094</v>
      </c>
      <c r="B95" t="s">
        <v>86</v>
      </c>
      <c r="C95" t="s">
        <v>174</v>
      </c>
      <c r="D95" t="s">
        <v>192</v>
      </c>
      <c r="E95" t="s">
        <v>204</v>
      </c>
      <c r="F95">
        <v>44</v>
      </c>
      <c r="G95">
        <v>55000</v>
      </c>
      <c r="H95" t="s">
        <v>226</v>
      </c>
      <c r="P95">
        <v>10094</v>
      </c>
      <c r="Q95" t="str">
        <f t="shared" si="6"/>
        <v>James Mensah</v>
      </c>
      <c r="R95" t="str">
        <f>_xlfn.XLOOKUP(C95,$AB$2:$AB$5,$AC$2:$AC$5,PROPER(TRIM(C95)))</f>
        <v>Kenya</v>
      </c>
      <c r="S95" t="str">
        <f t="shared" si="7"/>
        <v>Marketing</v>
      </c>
      <c r="T95" t="str">
        <f t="shared" si="8"/>
        <v>Nairobi</v>
      </c>
      <c r="U95" t="str">
        <f t="shared" si="9"/>
        <v>44</v>
      </c>
      <c r="V95">
        <f t="shared" si="10"/>
        <v>55000</v>
      </c>
      <c r="W95" t="str">
        <f t="shared" si="11"/>
        <v>Full Time</v>
      </c>
    </row>
    <row r="96" spans="1:23" x14ac:dyDescent="0.3">
      <c r="A96">
        <v>10095</v>
      </c>
      <c r="B96" t="s">
        <v>45</v>
      </c>
      <c r="C96" t="s">
        <v>186</v>
      </c>
      <c r="D96" t="s">
        <v>191</v>
      </c>
      <c r="E96" t="s">
        <v>208</v>
      </c>
      <c r="F96">
        <v>20</v>
      </c>
      <c r="G96">
        <v>50000</v>
      </c>
      <c r="H96" t="s">
        <v>225</v>
      </c>
      <c r="P96">
        <v>10095</v>
      </c>
      <c r="Q96" t="str">
        <f t="shared" si="6"/>
        <v>Joseph Mensah</v>
      </c>
      <c r="R96" t="str">
        <f>_xlfn.XLOOKUP(C96,$AB$2:$AB$5,$AC$2:$AC$5,PROPER(TRIM(C96)))</f>
        <v>Ghana</v>
      </c>
      <c r="S96" t="str">
        <f t="shared" si="7"/>
        <v>Finance</v>
      </c>
      <c r="T96" t="str">
        <f t="shared" si="8"/>
        <v>Kumasi</v>
      </c>
      <c r="U96" t="str">
        <f t="shared" si="9"/>
        <v>20</v>
      </c>
      <c r="V96">
        <f t="shared" si="10"/>
        <v>50000</v>
      </c>
      <c r="W96" t="str">
        <f t="shared" si="11"/>
        <v>Intern</v>
      </c>
    </row>
    <row r="97" spans="1:23" x14ac:dyDescent="0.3">
      <c r="A97">
        <v>10096</v>
      </c>
      <c r="B97" t="s">
        <v>87</v>
      </c>
      <c r="C97" t="s">
        <v>175</v>
      </c>
      <c r="D97" t="s">
        <v>192</v>
      </c>
      <c r="E97" t="s">
        <v>205</v>
      </c>
      <c r="F97">
        <v>22</v>
      </c>
      <c r="G97">
        <v>50000</v>
      </c>
      <c r="H97" t="s">
        <v>231</v>
      </c>
      <c r="P97">
        <v>10096</v>
      </c>
      <c r="Q97" t="str">
        <f t="shared" si="6"/>
        <v>Daniel Mensah</v>
      </c>
      <c r="R97" t="str">
        <f>_xlfn.XLOOKUP(C97,$AB$2:$AB$5,$AC$2:$AC$5,PROPER(TRIM(C97)))</f>
        <v>Ghana</v>
      </c>
      <c r="S97" t="str">
        <f t="shared" si="7"/>
        <v>Marketing</v>
      </c>
      <c r="T97" t="str">
        <f t="shared" si="8"/>
        <v>Tema</v>
      </c>
      <c r="U97" t="str">
        <f t="shared" si="9"/>
        <v>22</v>
      </c>
      <c r="V97">
        <f t="shared" si="10"/>
        <v>50000</v>
      </c>
      <c r="W97" t="str">
        <f t="shared" si="11"/>
        <v>Contract</v>
      </c>
    </row>
    <row r="98" spans="1:23" x14ac:dyDescent="0.3">
      <c r="A98">
        <v>10097</v>
      </c>
      <c r="B98" t="s">
        <v>88</v>
      </c>
      <c r="C98" t="s">
        <v>175</v>
      </c>
      <c r="D98" t="s">
        <v>197</v>
      </c>
      <c r="E98" t="s">
        <v>204</v>
      </c>
      <c r="F98">
        <v>38</v>
      </c>
      <c r="G98">
        <v>30000</v>
      </c>
      <c r="H98" t="s">
        <v>228</v>
      </c>
      <c r="P98">
        <v>10097</v>
      </c>
      <c r="Q98" t="str">
        <f t="shared" si="6"/>
        <v>Alice Brown</v>
      </c>
      <c r="R98" t="str">
        <f>_xlfn.XLOOKUP(C98,$AB$2:$AB$5,$AC$2:$AC$5,PROPER(TRIM(C98)))</f>
        <v>Ghana</v>
      </c>
      <c r="S98" t="str">
        <f t="shared" si="7"/>
        <v>It</v>
      </c>
      <c r="T98" t="str">
        <f t="shared" si="8"/>
        <v>Nairobi</v>
      </c>
      <c r="U98" t="str">
        <f t="shared" si="9"/>
        <v>38</v>
      </c>
      <c r="V98">
        <f t="shared" si="10"/>
        <v>30000</v>
      </c>
      <c r="W98" t="str">
        <f t="shared" si="11"/>
        <v>Part-Time</v>
      </c>
    </row>
    <row r="99" spans="1:23" x14ac:dyDescent="0.3">
      <c r="A99">
        <v>10098</v>
      </c>
      <c r="B99" t="s">
        <v>89</v>
      </c>
      <c r="C99" t="s">
        <v>182</v>
      </c>
      <c r="D99" t="s">
        <v>198</v>
      </c>
      <c r="E99" t="s">
        <v>208</v>
      </c>
      <c r="F99">
        <v>32</v>
      </c>
      <c r="G99">
        <v>45000</v>
      </c>
      <c r="H99" t="s">
        <v>229</v>
      </c>
      <c r="P99">
        <v>10098</v>
      </c>
      <c r="Q99" t="str">
        <f t="shared" si="6"/>
        <v>Peter Miller</v>
      </c>
      <c r="R99" t="str">
        <f>_xlfn.XLOOKUP(C99,$AB$2:$AB$5,$AC$2:$AC$5,PROPER(TRIM(C99)))</f>
        <v>South Africa</v>
      </c>
      <c r="S99" t="str">
        <f t="shared" si="7"/>
        <v>Sales</v>
      </c>
      <c r="T99" t="str">
        <f t="shared" si="8"/>
        <v>Kumasi</v>
      </c>
      <c r="U99" t="str">
        <f t="shared" si="9"/>
        <v>32</v>
      </c>
      <c r="V99">
        <f t="shared" si="10"/>
        <v>45000</v>
      </c>
      <c r="W99" t="str">
        <f t="shared" si="11"/>
        <v>Contract</v>
      </c>
    </row>
    <row r="100" spans="1:23" x14ac:dyDescent="0.3">
      <c r="A100">
        <v>10099</v>
      </c>
      <c r="B100" t="s">
        <v>67</v>
      </c>
      <c r="C100" t="s">
        <v>181</v>
      </c>
      <c r="D100" t="s">
        <v>188</v>
      </c>
      <c r="E100" t="s">
        <v>201</v>
      </c>
      <c r="F100">
        <v>50</v>
      </c>
      <c r="G100">
        <v>65000</v>
      </c>
      <c r="H100" t="s">
        <v>231</v>
      </c>
      <c r="P100">
        <v>10099</v>
      </c>
      <c r="Q100" t="str">
        <f t="shared" si="6"/>
        <v>John Mensah</v>
      </c>
      <c r="R100" t="str">
        <f>_xlfn.XLOOKUP(C100,$AB$2:$AB$5,$AC$2:$AC$5,PROPER(TRIM(C100)))</f>
        <v>Nigeria</v>
      </c>
      <c r="S100" t="str">
        <f t="shared" si="7"/>
        <v>Sales</v>
      </c>
      <c r="T100" t="str">
        <f t="shared" si="8"/>
        <v>Johannesburg</v>
      </c>
      <c r="U100" t="str">
        <f t="shared" si="9"/>
        <v>50</v>
      </c>
      <c r="V100">
        <f t="shared" si="10"/>
        <v>65000</v>
      </c>
      <c r="W100" t="str">
        <f t="shared" si="11"/>
        <v>Contract</v>
      </c>
    </row>
    <row r="101" spans="1:23" x14ac:dyDescent="0.3">
      <c r="A101">
        <v>10100</v>
      </c>
      <c r="B101" t="s">
        <v>90</v>
      </c>
      <c r="C101" t="s">
        <v>176</v>
      </c>
      <c r="D101" t="s">
        <v>195</v>
      </c>
      <c r="E101" t="s">
        <v>209</v>
      </c>
      <c r="F101">
        <v>31</v>
      </c>
      <c r="G101" t="s">
        <v>217</v>
      </c>
      <c r="H101" t="s">
        <v>229</v>
      </c>
      <c r="P101">
        <v>10100</v>
      </c>
      <c r="Q101" t="str">
        <f t="shared" si="6"/>
        <v>Sarah Williams</v>
      </c>
      <c r="R101" t="str">
        <f>_xlfn.XLOOKUP(C101,$AB$2:$AB$5,$AC$2:$AC$5,PROPER(TRIM(C101)))</f>
        <v>Nigeria</v>
      </c>
      <c r="S101" t="str">
        <f t="shared" si="7"/>
        <v>Sales</v>
      </c>
      <c r="T101" t="str">
        <f t="shared" si="8"/>
        <v>Johannesburg</v>
      </c>
      <c r="U101" t="str">
        <f t="shared" si="9"/>
        <v>31</v>
      </c>
      <c r="V101">
        <f t="shared" si="10"/>
        <v>30000</v>
      </c>
      <c r="W101" t="str">
        <f t="shared" si="11"/>
        <v>Contract</v>
      </c>
    </row>
    <row r="102" spans="1:23" x14ac:dyDescent="0.3">
      <c r="A102">
        <v>10101</v>
      </c>
      <c r="B102" t="s">
        <v>57</v>
      </c>
      <c r="C102" t="s">
        <v>182</v>
      </c>
      <c r="D102" t="s">
        <v>187</v>
      </c>
      <c r="E102" t="s">
        <v>210</v>
      </c>
      <c r="F102">
        <v>36</v>
      </c>
      <c r="G102">
        <v>60000</v>
      </c>
      <c r="H102" t="s">
        <v>231</v>
      </c>
      <c r="P102">
        <v>10101</v>
      </c>
      <c r="Q102" t="str">
        <f t="shared" si="6"/>
        <v>Brian Brown</v>
      </c>
      <c r="R102" t="str">
        <f>_xlfn.XLOOKUP(C102,$AB$2:$AB$5,$AC$2:$AC$5,PROPER(TRIM(C102)))</f>
        <v>South Africa</v>
      </c>
      <c r="S102" t="str">
        <f t="shared" si="7"/>
        <v>It</v>
      </c>
      <c r="T102" t="str">
        <f t="shared" si="8"/>
        <v>Nairobi</v>
      </c>
      <c r="U102" t="str">
        <f t="shared" si="9"/>
        <v>36</v>
      </c>
      <c r="V102">
        <f t="shared" si="10"/>
        <v>60000</v>
      </c>
      <c r="W102" t="str">
        <f t="shared" si="11"/>
        <v>Contract</v>
      </c>
    </row>
    <row r="103" spans="1:23" x14ac:dyDescent="0.3">
      <c r="A103">
        <v>10102</v>
      </c>
      <c r="B103" t="s">
        <v>88</v>
      </c>
      <c r="C103" t="s">
        <v>182</v>
      </c>
      <c r="D103" t="s">
        <v>188</v>
      </c>
      <c r="E103" t="s">
        <v>209</v>
      </c>
      <c r="F103">
        <v>58</v>
      </c>
      <c r="G103">
        <v>55000</v>
      </c>
      <c r="H103" t="s">
        <v>225</v>
      </c>
      <c r="P103">
        <v>10102</v>
      </c>
      <c r="Q103" t="str">
        <f t="shared" si="6"/>
        <v>Alice Brown</v>
      </c>
      <c r="R103" t="str">
        <f>_xlfn.XLOOKUP(C103,$AB$2:$AB$5,$AC$2:$AC$5,PROPER(TRIM(C103)))</f>
        <v>South Africa</v>
      </c>
      <c r="S103" t="str">
        <f t="shared" si="7"/>
        <v>Sales</v>
      </c>
      <c r="T103" t="str">
        <f t="shared" si="8"/>
        <v>Johannesburg</v>
      </c>
      <c r="U103" t="str">
        <f t="shared" si="9"/>
        <v>58</v>
      </c>
      <c r="V103">
        <f t="shared" si="10"/>
        <v>55000</v>
      </c>
      <c r="W103" t="str">
        <f t="shared" si="11"/>
        <v>Intern</v>
      </c>
    </row>
    <row r="104" spans="1:23" x14ac:dyDescent="0.3">
      <c r="A104">
        <v>10103</v>
      </c>
      <c r="B104" t="s">
        <v>90</v>
      </c>
      <c r="C104" t="s">
        <v>186</v>
      </c>
      <c r="D104" t="s">
        <v>188</v>
      </c>
      <c r="E104" t="s">
        <v>203</v>
      </c>
      <c r="F104">
        <v>49</v>
      </c>
      <c r="G104">
        <v>90000</v>
      </c>
      <c r="H104" t="s">
        <v>226</v>
      </c>
      <c r="P104">
        <v>10103</v>
      </c>
      <c r="Q104" t="str">
        <f t="shared" si="6"/>
        <v>Sarah Williams</v>
      </c>
      <c r="R104" t="str">
        <f>_xlfn.XLOOKUP(C104,$AB$2:$AB$5,$AC$2:$AC$5,PROPER(TRIM(C104)))</f>
        <v>Ghana</v>
      </c>
      <c r="S104" t="str">
        <f t="shared" si="7"/>
        <v>Sales</v>
      </c>
      <c r="T104" t="str">
        <f t="shared" si="8"/>
        <v>Accra</v>
      </c>
      <c r="U104" t="str">
        <f t="shared" si="9"/>
        <v>49</v>
      </c>
      <c r="V104">
        <f t="shared" si="10"/>
        <v>90000</v>
      </c>
      <c r="W104" t="str">
        <f t="shared" si="11"/>
        <v>Full Time</v>
      </c>
    </row>
    <row r="105" spans="1:23" x14ac:dyDescent="0.3">
      <c r="A105">
        <v>10104</v>
      </c>
      <c r="B105" t="s">
        <v>91</v>
      </c>
      <c r="C105" t="s">
        <v>178</v>
      </c>
      <c r="D105" t="s">
        <v>196</v>
      </c>
      <c r="E105" t="s">
        <v>207</v>
      </c>
      <c r="F105">
        <v>43</v>
      </c>
      <c r="G105">
        <v>60000</v>
      </c>
      <c r="H105" t="s">
        <v>224</v>
      </c>
      <c r="P105">
        <v>10104</v>
      </c>
      <c r="Q105" t="str">
        <f t="shared" si="6"/>
        <v>Sarah Johnson</v>
      </c>
      <c r="R105" t="str">
        <f>_xlfn.XLOOKUP(C105,$AB$2:$AB$5,$AC$2:$AC$5,PROPER(TRIM(C105)))</f>
        <v>Kenya</v>
      </c>
      <c r="S105" t="str">
        <f t="shared" si="7"/>
        <v>Hr</v>
      </c>
      <c r="T105" t="str">
        <f t="shared" si="8"/>
        <v>Accra</v>
      </c>
      <c r="U105" t="str">
        <f t="shared" si="9"/>
        <v>43</v>
      </c>
      <c r="V105">
        <f t="shared" si="10"/>
        <v>60000</v>
      </c>
      <c r="W105" t="str">
        <f t="shared" si="11"/>
        <v>Full-Time</v>
      </c>
    </row>
    <row r="106" spans="1:23" x14ac:dyDescent="0.3">
      <c r="A106">
        <v>10105</v>
      </c>
      <c r="B106" t="s">
        <v>92</v>
      </c>
      <c r="C106" t="s">
        <v>175</v>
      </c>
      <c r="D106" t="s">
        <v>189</v>
      </c>
      <c r="E106" t="s">
        <v>202</v>
      </c>
      <c r="F106">
        <v>29</v>
      </c>
      <c r="G106" t="s">
        <v>218</v>
      </c>
      <c r="H106" t="s">
        <v>230</v>
      </c>
      <c r="P106">
        <v>10105</v>
      </c>
      <c r="Q106" t="str">
        <f t="shared" si="6"/>
        <v>Robert Mensah</v>
      </c>
      <c r="R106" t="str">
        <f>_xlfn.XLOOKUP(C106,$AB$2:$AB$5,$AC$2:$AC$5,PROPER(TRIM(C106)))</f>
        <v>Ghana</v>
      </c>
      <c r="S106" t="str">
        <f t="shared" si="7"/>
        <v>Operations</v>
      </c>
      <c r="T106" t="str">
        <f t="shared" si="8"/>
        <v>Kumasi</v>
      </c>
      <c r="U106" t="str">
        <f t="shared" si="9"/>
        <v>29</v>
      </c>
      <c r="V106" t="e">
        <f t="shared" si="10"/>
        <v>#VALUE!</v>
      </c>
      <c r="W106" t="str">
        <f t="shared" si="11"/>
        <v>Full-Time</v>
      </c>
    </row>
    <row r="107" spans="1:23" x14ac:dyDescent="0.3">
      <c r="A107">
        <v>10106</v>
      </c>
      <c r="B107" t="s">
        <v>93</v>
      </c>
      <c r="C107" t="s">
        <v>177</v>
      </c>
      <c r="D107" t="s">
        <v>199</v>
      </c>
      <c r="E107" t="s">
        <v>200</v>
      </c>
      <c r="F107">
        <v>24</v>
      </c>
      <c r="G107">
        <v>35000</v>
      </c>
      <c r="H107" t="s">
        <v>229</v>
      </c>
      <c r="P107">
        <v>10106</v>
      </c>
      <c r="Q107" t="str">
        <f t="shared" si="6"/>
        <v>Kwame Mensah</v>
      </c>
      <c r="R107" t="str">
        <f>_xlfn.XLOOKUP(C107,$AB$2:$AB$5,$AC$2:$AC$5,PROPER(TRIM(C107)))</f>
        <v>South Africa</v>
      </c>
      <c r="S107" t="str">
        <f t="shared" si="7"/>
        <v>Marketing</v>
      </c>
      <c r="T107" t="str">
        <f t="shared" si="8"/>
        <v>Lagos</v>
      </c>
      <c r="U107" t="str">
        <f t="shared" si="9"/>
        <v>24</v>
      </c>
      <c r="V107">
        <f t="shared" si="10"/>
        <v>35000</v>
      </c>
      <c r="W107" t="str">
        <f t="shared" si="11"/>
        <v>Contract</v>
      </c>
    </row>
    <row r="108" spans="1:23" x14ac:dyDescent="0.3">
      <c r="A108">
        <v>10107</v>
      </c>
      <c r="B108" t="s">
        <v>94</v>
      </c>
      <c r="C108" t="s">
        <v>178</v>
      </c>
      <c r="D108" t="s">
        <v>190</v>
      </c>
      <c r="F108">
        <v>35</v>
      </c>
      <c r="G108">
        <v>90000</v>
      </c>
      <c r="H108" t="s">
        <v>229</v>
      </c>
      <c r="P108">
        <v>10107</v>
      </c>
      <c r="Q108" t="str">
        <f t="shared" si="6"/>
        <v>Sarah Smith</v>
      </c>
      <c r="R108" t="str">
        <f>_xlfn.XLOOKUP(C108,$AB$2:$AB$5,$AC$2:$AC$5,PROPER(TRIM(C108)))</f>
        <v>Kenya</v>
      </c>
      <c r="S108" t="str">
        <f t="shared" si="7"/>
        <v>Hr</v>
      </c>
      <c r="T108" t="str">
        <f t="shared" si="8"/>
        <v/>
      </c>
      <c r="U108" t="str">
        <f t="shared" si="9"/>
        <v>35</v>
      </c>
      <c r="V108">
        <f t="shared" si="10"/>
        <v>90000</v>
      </c>
      <c r="W108" t="str">
        <f t="shared" si="11"/>
        <v>Contract</v>
      </c>
    </row>
    <row r="109" spans="1:23" x14ac:dyDescent="0.3">
      <c r="A109">
        <v>10108</v>
      </c>
      <c r="B109" t="s">
        <v>95</v>
      </c>
      <c r="C109" t="s">
        <v>180</v>
      </c>
      <c r="D109" t="s">
        <v>194</v>
      </c>
      <c r="E109" t="s">
        <v>202</v>
      </c>
      <c r="F109">
        <v>44</v>
      </c>
      <c r="G109">
        <v>40000</v>
      </c>
      <c r="H109" t="s">
        <v>225</v>
      </c>
      <c r="P109">
        <v>10108</v>
      </c>
      <c r="Q109" t="str">
        <f t="shared" si="6"/>
        <v>Mary Kamau</v>
      </c>
      <c r="R109" t="str">
        <f>_xlfn.XLOOKUP(C109,$AB$2:$AB$5,$AC$2:$AC$5,PROPER(TRIM(C109)))</f>
        <v>Ghana</v>
      </c>
      <c r="S109" t="str">
        <f t="shared" si="7"/>
        <v>Finance</v>
      </c>
      <c r="T109" t="str">
        <f t="shared" si="8"/>
        <v>Kumasi</v>
      </c>
      <c r="U109" t="str">
        <f t="shared" si="9"/>
        <v>44</v>
      </c>
      <c r="V109">
        <f t="shared" si="10"/>
        <v>40000</v>
      </c>
      <c r="W109" t="str">
        <f t="shared" si="11"/>
        <v>Intern</v>
      </c>
    </row>
    <row r="110" spans="1:23" x14ac:dyDescent="0.3">
      <c r="A110">
        <v>10109</v>
      </c>
      <c r="B110" t="s">
        <v>53</v>
      </c>
      <c r="C110" t="s">
        <v>173</v>
      </c>
      <c r="D110" t="s">
        <v>197</v>
      </c>
      <c r="E110" t="s">
        <v>208</v>
      </c>
      <c r="F110">
        <v>38</v>
      </c>
      <c r="G110">
        <v>50000</v>
      </c>
      <c r="H110" t="s">
        <v>228</v>
      </c>
      <c r="P110">
        <v>10109</v>
      </c>
      <c r="Q110" t="str">
        <f t="shared" si="6"/>
        <v>David Owusu</v>
      </c>
      <c r="R110" t="str">
        <f>_xlfn.XLOOKUP(C110,$AB$2:$AB$5,$AC$2:$AC$5,PROPER(TRIM(C110)))</f>
        <v>South Africa</v>
      </c>
      <c r="S110" t="str">
        <f t="shared" si="7"/>
        <v>It</v>
      </c>
      <c r="T110" t="str">
        <f t="shared" si="8"/>
        <v>Kumasi</v>
      </c>
      <c r="U110" t="str">
        <f t="shared" si="9"/>
        <v>38</v>
      </c>
      <c r="V110">
        <f t="shared" si="10"/>
        <v>50000</v>
      </c>
      <c r="W110" t="str">
        <f t="shared" si="11"/>
        <v>Part-Time</v>
      </c>
    </row>
    <row r="111" spans="1:23" x14ac:dyDescent="0.3">
      <c r="A111">
        <v>10110</v>
      </c>
      <c r="B111" t="s">
        <v>17</v>
      </c>
      <c r="C111" t="s">
        <v>173</v>
      </c>
      <c r="D111" t="s">
        <v>196</v>
      </c>
      <c r="E111" t="s">
        <v>206</v>
      </c>
      <c r="F111">
        <v>25</v>
      </c>
      <c r="G111">
        <v>30000</v>
      </c>
      <c r="H111" t="s">
        <v>228</v>
      </c>
      <c r="P111">
        <v>10110</v>
      </c>
      <c r="Q111" t="str">
        <f t="shared" si="6"/>
        <v>Fatima Adams</v>
      </c>
      <c r="R111" t="str">
        <f>_xlfn.XLOOKUP(C111,$AB$2:$AB$5,$AC$2:$AC$5,PROPER(TRIM(C111)))</f>
        <v>South Africa</v>
      </c>
      <c r="S111" t="str">
        <f t="shared" si="7"/>
        <v>Hr</v>
      </c>
      <c r="T111" t="str">
        <f t="shared" si="8"/>
        <v>Tema</v>
      </c>
      <c r="U111" t="str">
        <f t="shared" si="9"/>
        <v>25</v>
      </c>
      <c r="V111">
        <f t="shared" si="10"/>
        <v>30000</v>
      </c>
      <c r="W111" t="str">
        <f t="shared" si="11"/>
        <v>Part-Time</v>
      </c>
    </row>
    <row r="112" spans="1:23" x14ac:dyDescent="0.3">
      <c r="A112">
        <v>10111</v>
      </c>
      <c r="B112" t="s">
        <v>96</v>
      </c>
      <c r="C112" t="s">
        <v>182</v>
      </c>
      <c r="D112" t="s">
        <v>188</v>
      </c>
      <c r="E112" t="s">
        <v>207</v>
      </c>
      <c r="F112">
        <v>33</v>
      </c>
      <c r="G112">
        <v>80000</v>
      </c>
      <c r="H112" t="s">
        <v>228</v>
      </c>
      <c r="P112">
        <v>10111</v>
      </c>
      <c r="Q112" t="str">
        <f t="shared" si="6"/>
        <v>Emma Adams</v>
      </c>
      <c r="R112" t="str">
        <f>_xlfn.XLOOKUP(C112,$AB$2:$AB$5,$AC$2:$AC$5,PROPER(TRIM(C112)))</f>
        <v>South Africa</v>
      </c>
      <c r="S112" t="str">
        <f t="shared" si="7"/>
        <v>Sales</v>
      </c>
      <c r="T112" t="str">
        <f t="shared" si="8"/>
        <v>Accra</v>
      </c>
      <c r="U112" t="str">
        <f t="shared" si="9"/>
        <v>33</v>
      </c>
      <c r="V112">
        <f t="shared" si="10"/>
        <v>80000</v>
      </c>
      <c r="W112" t="str">
        <f t="shared" si="11"/>
        <v>Part-Time</v>
      </c>
    </row>
    <row r="113" spans="1:23" x14ac:dyDescent="0.3">
      <c r="A113">
        <v>10112</v>
      </c>
      <c r="B113" t="s">
        <v>97</v>
      </c>
      <c r="C113" t="s">
        <v>178</v>
      </c>
      <c r="D113" t="s">
        <v>191</v>
      </c>
      <c r="E113" t="s">
        <v>205</v>
      </c>
      <c r="F113">
        <v>49</v>
      </c>
      <c r="G113">
        <v>90000</v>
      </c>
      <c r="H113" t="s">
        <v>231</v>
      </c>
      <c r="P113">
        <v>10112</v>
      </c>
      <c r="Q113" t="str">
        <f t="shared" si="6"/>
        <v>Emma Adams</v>
      </c>
      <c r="R113" t="str">
        <f>_xlfn.XLOOKUP(C113,$AB$2:$AB$5,$AC$2:$AC$5,PROPER(TRIM(C113)))</f>
        <v>Kenya</v>
      </c>
      <c r="S113" t="str">
        <f t="shared" si="7"/>
        <v>Finance</v>
      </c>
      <c r="T113" t="str">
        <f t="shared" si="8"/>
        <v>Tema</v>
      </c>
      <c r="U113" t="str">
        <f t="shared" si="9"/>
        <v>49</v>
      </c>
      <c r="V113">
        <f t="shared" si="10"/>
        <v>90000</v>
      </c>
      <c r="W113" t="str">
        <f t="shared" si="11"/>
        <v>Contract</v>
      </c>
    </row>
    <row r="114" spans="1:23" x14ac:dyDescent="0.3">
      <c r="A114">
        <v>10113</v>
      </c>
      <c r="B114" t="s">
        <v>98</v>
      </c>
      <c r="C114" t="s">
        <v>179</v>
      </c>
      <c r="D114" t="s">
        <v>199</v>
      </c>
      <c r="E114" t="s">
        <v>207</v>
      </c>
      <c r="F114">
        <v>27</v>
      </c>
      <c r="G114">
        <v>30000</v>
      </c>
      <c r="H114" t="s">
        <v>226</v>
      </c>
      <c r="P114">
        <v>10113</v>
      </c>
      <c r="Q114" t="str">
        <f t="shared" si="6"/>
        <v>Mary Mensah</v>
      </c>
      <c r="R114" t="str">
        <f>_xlfn.XLOOKUP(C114,$AB$2:$AB$5,$AC$2:$AC$5,PROPER(TRIM(C114)))</f>
        <v>Kenya</v>
      </c>
      <c r="S114" t="str">
        <f t="shared" si="7"/>
        <v>Marketing</v>
      </c>
      <c r="T114" t="str">
        <f t="shared" si="8"/>
        <v>Accra</v>
      </c>
      <c r="U114" t="str">
        <f t="shared" si="9"/>
        <v>27</v>
      </c>
      <c r="V114">
        <f t="shared" si="10"/>
        <v>30000</v>
      </c>
      <c r="W114" t="str">
        <f t="shared" si="11"/>
        <v>Full Time</v>
      </c>
    </row>
    <row r="115" spans="1:23" x14ac:dyDescent="0.3">
      <c r="A115">
        <v>10114</v>
      </c>
      <c r="B115" t="s">
        <v>99</v>
      </c>
      <c r="C115" t="s">
        <v>176</v>
      </c>
      <c r="D115" t="s">
        <v>197</v>
      </c>
      <c r="E115" t="s">
        <v>201</v>
      </c>
      <c r="F115">
        <v>42</v>
      </c>
      <c r="G115">
        <v>65000</v>
      </c>
      <c r="H115" t="s">
        <v>224</v>
      </c>
      <c r="P115">
        <v>10114</v>
      </c>
      <c r="Q115" t="str">
        <f t="shared" si="6"/>
        <v>Nana Kamau</v>
      </c>
      <c r="R115" t="str">
        <f>_xlfn.XLOOKUP(C115,$AB$2:$AB$5,$AC$2:$AC$5,PROPER(TRIM(C115)))</f>
        <v>Nigeria</v>
      </c>
      <c r="S115" t="str">
        <f t="shared" si="7"/>
        <v>It</v>
      </c>
      <c r="T115" t="str">
        <f t="shared" si="8"/>
        <v>Johannesburg</v>
      </c>
      <c r="U115" t="str">
        <f t="shared" si="9"/>
        <v>42</v>
      </c>
      <c r="V115">
        <f t="shared" si="10"/>
        <v>65000</v>
      </c>
      <c r="W115" t="str">
        <f t="shared" si="11"/>
        <v>Full-Time</v>
      </c>
    </row>
    <row r="116" spans="1:23" x14ac:dyDescent="0.3">
      <c r="A116">
        <v>10115</v>
      </c>
      <c r="B116" t="s">
        <v>100</v>
      </c>
      <c r="C116" t="s">
        <v>182</v>
      </c>
      <c r="D116" t="s">
        <v>187</v>
      </c>
      <c r="E116" t="s">
        <v>200</v>
      </c>
      <c r="F116">
        <v>26</v>
      </c>
      <c r="G116">
        <v>40000</v>
      </c>
      <c r="H116" t="s">
        <v>231</v>
      </c>
      <c r="P116">
        <v>10115</v>
      </c>
      <c r="Q116" t="str">
        <f t="shared" si="6"/>
        <v>Ama Adams</v>
      </c>
      <c r="R116" t="str">
        <f>_xlfn.XLOOKUP(C116,$AB$2:$AB$5,$AC$2:$AC$5,PROPER(TRIM(C116)))</f>
        <v>South Africa</v>
      </c>
      <c r="S116" t="str">
        <f t="shared" si="7"/>
        <v>It</v>
      </c>
      <c r="T116" t="str">
        <f t="shared" si="8"/>
        <v>Lagos</v>
      </c>
      <c r="U116" t="str">
        <f t="shared" si="9"/>
        <v>26</v>
      </c>
      <c r="V116">
        <f t="shared" si="10"/>
        <v>40000</v>
      </c>
      <c r="W116" t="str">
        <f t="shared" si="11"/>
        <v>Contract</v>
      </c>
    </row>
    <row r="117" spans="1:23" x14ac:dyDescent="0.3">
      <c r="A117">
        <v>10116</v>
      </c>
      <c r="B117" t="s">
        <v>14</v>
      </c>
      <c r="C117" t="s">
        <v>179</v>
      </c>
      <c r="D117" t="s">
        <v>196</v>
      </c>
      <c r="E117" t="s">
        <v>208</v>
      </c>
      <c r="F117">
        <v>34</v>
      </c>
      <c r="G117">
        <v>70000</v>
      </c>
      <c r="H117" t="s">
        <v>231</v>
      </c>
      <c r="P117">
        <v>10116</v>
      </c>
      <c r="Q117" t="str">
        <f t="shared" si="6"/>
        <v>Peter Owusu</v>
      </c>
      <c r="R117" t="str">
        <f>_xlfn.XLOOKUP(C117,$AB$2:$AB$5,$AC$2:$AC$5,PROPER(TRIM(C117)))</f>
        <v>Kenya</v>
      </c>
      <c r="S117" t="str">
        <f t="shared" si="7"/>
        <v>Hr</v>
      </c>
      <c r="T117" t="str">
        <f t="shared" si="8"/>
        <v>Kumasi</v>
      </c>
      <c r="U117" t="str">
        <f t="shared" si="9"/>
        <v>34</v>
      </c>
      <c r="V117">
        <f t="shared" si="10"/>
        <v>70000</v>
      </c>
      <c r="W117" t="str">
        <f t="shared" si="11"/>
        <v>Contract</v>
      </c>
    </row>
    <row r="118" spans="1:23" x14ac:dyDescent="0.3">
      <c r="A118">
        <v>10001</v>
      </c>
      <c r="B118" t="s">
        <v>59</v>
      </c>
      <c r="C118" t="s">
        <v>183</v>
      </c>
      <c r="D118" t="s">
        <v>191</v>
      </c>
      <c r="E118" t="s">
        <v>207</v>
      </c>
      <c r="F118">
        <v>58</v>
      </c>
      <c r="G118">
        <v>55000</v>
      </c>
      <c r="H118" t="s">
        <v>224</v>
      </c>
      <c r="P118">
        <v>10001</v>
      </c>
      <c r="Q118" t="str">
        <f t="shared" si="6"/>
        <v>Alice Adams</v>
      </c>
      <c r="R118" t="str">
        <f>_xlfn.XLOOKUP(C118,$AB$2:$AB$5,$AC$2:$AC$5,PROPER(TRIM(C118)))</f>
        <v>Nigeria</v>
      </c>
      <c r="S118" t="str">
        <f t="shared" si="7"/>
        <v>Finance</v>
      </c>
      <c r="T118" t="str">
        <f t="shared" si="8"/>
        <v>Accra</v>
      </c>
      <c r="U118" t="str">
        <f t="shared" si="9"/>
        <v>58</v>
      </c>
      <c r="V118">
        <f t="shared" si="10"/>
        <v>55000</v>
      </c>
      <c r="W118" t="str">
        <f t="shared" si="11"/>
        <v>Full-Time</v>
      </c>
    </row>
    <row r="119" spans="1:23" x14ac:dyDescent="0.3">
      <c r="A119">
        <v>10118</v>
      </c>
      <c r="B119" t="s">
        <v>101</v>
      </c>
      <c r="C119" t="s">
        <v>185</v>
      </c>
      <c r="D119" t="s">
        <v>189</v>
      </c>
      <c r="E119" t="s">
        <v>202</v>
      </c>
      <c r="F119">
        <v>44</v>
      </c>
      <c r="G119">
        <v>45000</v>
      </c>
      <c r="H119" t="s">
        <v>224</v>
      </c>
      <c r="P119">
        <v>10118</v>
      </c>
      <c r="Q119" t="str">
        <f t="shared" si="6"/>
        <v>Brian Miller</v>
      </c>
      <c r="R119" t="str">
        <f>_xlfn.XLOOKUP(C119,$AB$2:$AB$5,$AC$2:$AC$5,PROPER(TRIM(C119)))</f>
        <v>Ghana</v>
      </c>
      <c r="S119" t="str">
        <f t="shared" si="7"/>
        <v>Operations</v>
      </c>
      <c r="T119" t="str">
        <f t="shared" si="8"/>
        <v>Kumasi</v>
      </c>
      <c r="U119" t="str">
        <f t="shared" si="9"/>
        <v>44</v>
      </c>
      <c r="V119">
        <f t="shared" si="10"/>
        <v>45000</v>
      </c>
      <c r="W119" t="str">
        <f t="shared" si="11"/>
        <v>Full-Time</v>
      </c>
    </row>
    <row r="120" spans="1:23" x14ac:dyDescent="0.3">
      <c r="A120">
        <v>10119</v>
      </c>
      <c r="B120" t="s">
        <v>49</v>
      </c>
      <c r="C120" t="s">
        <v>173</v>
      </c>
      <c r="D120" t="s">
        <v>188</v>
      </c>
      <c r="E120" t="s">
        <v>202</v>
      </c>
      <c r="F120">
        <v>41</v>
      </c>
      <c r="G120">
        <v>35000</v>
      </c>
      <c r="H120" t="s">
        <v>231</v>
      </c>
      <c r="P120">
        <v>10119</v>
      </c>
      <c r="Q120" t="str">
        <f t="shared" si="6"/>
        <v>David Miller</v>
      </c>
      <c r="R120" t="str">
        <f>_xlfn.XLOOKUP(C120,$AB$2:$AB$5,$AC$2:$AC$5,PROPER(TRIM(C120)))</f>
        <v>South Africa</v>
      </c>
      <c r="S120" t="str">
        <f t="shared" si="7"/>
        <v>Sales</v>
      </c>
      <c r="T120" t="str">
        <f t="shared" si="8"/>
        <v>Kumasi</v>
      </c>
      <c r="U120" t="str">
        <f t="shared" si="9"/>
        <v>41</v>
      </c>
      <c r="V120">
        <f t="shared" si="10"/>
        <v>35000</v>
      </c>
      <c r="W120" t="str">
        <f t="shared" si="11"/>
        <v>Contract</v>
      </c>
    </row>
    <row r="121" spans="1:23" x14ac:dyDescent="0.3">
      <c r="A121">
        <v>10120</v>
      </c>
      <c r="B121" t="s">
        <v>102</v>
      </c>
      <c r="C121" t="s">
        <v>185</v>
      </c>
      <c r="D121" t="s">
        <v>193</v>
      </c>
      <c r="E121" t="s">
        <v>208</v>
      </c>
      <c r="F121">
        <v>60</v>
      </c>
      <c r="G121">
        <v>50000</v>
      </c>
      <c r="H121" t="s">
        <v>229</v>
      </c>
      <c r="P121">
        <v>10120</v>
      </c>
      <c r="Q121" t="str">
        <f t="shared" si="6"/>
        <v>Samuel Kamau</v>
      </c>
      <c r="R121" t="str">
        <f>_xlfn.XLOOKUP(C121,$AB$2:$AB$5,$AC$2:$AC$5,PROPER(TRIM(C121)))</f>
        <v>Ghana</v>
      </c>
      <c r="S121" t="str">
        <f t="shared" si="7"/>
        <v>Operations</v>
      </c>
      <c r="T121" t="str">
        <f t="shared" si="8"/>
        <v>Kumasi</v>
      </c>
      <c r="U121" t="str">
        <f t="shared" si="9"/>
        <v>60</v>
      </c>
      <c r="V121">
        <f t="shared" si="10"/>
        <v>50000</v>
      </c>
      <c r="W121" t="str">
        <f t="shared" si="11"/>
        <v>Contract</v>
      </c>
    </row>
    <row r="122" spans="1:23" x14ac:dyDescent="0.3">
      <c r="A122">
        <v>10121</v>
      </c>
      <c r="B122" t="s">
        <v>103</v>
      </c>
      <c r="C122" t="s">
        <v>186</v>
      </c>
      <c r="D122" t="s">
        <v>187</v>
      </c>
      <c r="E122" t="s">
        <v>200</v>
      </c>
      <c r="F122">
        <v>25</v>
      </c>
      <c r="G122">
        <v>50000</v>
      </c>
      <c r="H122" t="s">
        <v>230</v>
      </c>
      <c r="P122">
        <v>10121</v>
      </c>
      <c r="Q122" t="str">
        <f t="shared" si="6"/>
        <v>Nana Adams</v>
      </c>
      <c r="R122" t="str">
        <f>_xlfn.XLOOKUP(C122,$AB$2:$AB$5,$AC$2:$AC$5,PROPER(TRIM(C122)))</f>
        <v>Ghana</v>
      </c>
      <c r="S122" t="str">
        <f t="shared" si="7"/>
        <v>It</v>
      </c>
      <c r="T122" t="str">
        <f t="shared" si="8"/>
        <v>Lagos</v>
      </c>
      <c r="U122" t="str">
        <f t="shared" si="9"/>
        <v>25</v>
      </c>
      <c r="V122">
        <f t="shared" si="10"/>
        <v>50000</v>
      </c>
      <c r="W122" t="str">
        <f t="shared" si="11"/>
        <v>Full-Time</v>
      </c>
    </row>
    <row r="123" spans="1:23" x14ac:dyDescent="0.3">
      <c r="A123">
        <v>10122</v>
      </c>
      <c r="B123" t="s">
        <v>104</v>
      </c>
      <c r="C123" t="s">
        <v>176</v>
      </c>
      <c r="D123" t="s">
        <v>192</v>
      </c>
      <c r="E123" t="s">
        <v>205</v>
      </c>
      <c r="F123">
        <v>25</v>
      </c>
      <c r="G123">
        <v>60000</v>
      </c>
      <c r="H123" t="s">
        <v>225</v>
      </c>
      <c r="P123">
        <v>10122</v>
      </c>
      <c r="Q123" t="str">
        <f t="shared" si="6"/>
        <v>John Brown</v>
      </c>
      <c r="R123" t="str">
        <f>_xlfn.XLOOKUP(C123,$AB$2:$AB$5,$AC$2:$AC$5,PROPER(TRIM(C123)))</f>
        <v>Nigeria</v>
      </c>
      <c r="S123" t="str">
        <f t="shared" si="7"/>
        <v>Marketing</v>
      </c>
      <c r="T123" t="str">
        <f t="shared" si="8"/>
        <v>Tema</v>
      </c>
      <c r="U123" t="str">
        <f t="shared" si="9"/>
        <v>25</v>
      </c>
      <c r="V123">
        <f t="shared" si="10"/>
        <v>60000</v>
      </c>
      <c r="W123" t="str">
        <f t="shared" si="11"/>
        <v>Intern</v>
      </c>
    </row>
    <row r="124" spans="1:23" x14ac:dyDescent="0.3">
      <c r="A124">
        <v>10123</v>
      </c>
      <c r="B124" t="s">
        <v>105</v>
      </c>
      <c r="C124" t="s">
        <v>183</v>
      </c>
      <c r="D124" t="s">
        <v>191</v>
      </c>
      <c r="E124" t="s">
        <v>211</v>
      </c>
      <c r="F124">
        <v>22</v>
      </c>
      <c r="G124">
        <v>40000</v>
      </c>
      <c r="H124" t="s">
        <v>231</v>
      </c>
      <c r="P124">
        <v>10123</v>
      </c>
      <c r="Q124" t="str">
        <f t="shared" si="6"/>
        <v>Michael Kamau</v>
      </c>
      <c r="R124" t="str">
        <f>_xlfn.XLOOKUP(C124,$AB$2:$AB$5,$AC$2:$AC$5,PROPER(TRIM(C124)))</f>
        <v>Nigeria</v>
      </c>
      <c r="S124" t="str">
        <f t="shared" si="7"/>
        <v>Finance</v>
      </c>
      <c r="T124" t="str">
        <f t="shared" si="8"/>
        <v>Lagos</v>
      </c>
      <c r="U124" t="str">
        <f t="shared" si="9"/>
        <v>22</v>
      </c>
      <c r="V124">
        <f t="shared" si="10"/>
        <v>40000</v>
      </c>
      <c r="W124" t="str">
        <f t="shared" si="11"/>
        <v>Contract</v>
      </c>
    </row>
    <row r="125" spans="1:23" x14ac:dyDescent="0.3">
      <c r="A125">
        <v>10124</v>
      </c>
      <c r="B125" t="s">
        <v>18</v>
      </c>
      <c r="C125" t="s">
        <v>180</v>
      </c>
      <c r="D125" t="s">
        <v>194</v>
      </c>
      <c r="E125" t="s">
        <v>205</v>
      </c>
      <c r="F125">
        <v>21</v>
      </c>
      <c r="G125">
        <v>45000</v>
      </c>
      <c r="H125" t="s">
        <v>227</v>
      </c>
      <c r="P125">
        <v>10124</v>
      </c>
      <c r="Q125" t="str">
        <f t="shared" si="6"/>
        <v>Samuel Brown</v>
      </c>
      <c r="R125" t="str">
        <f>_xlfn.XLOOKUP(C125,$AB$2:$AB$5,$AC$2:$AC$5,PROPER(TRIM(C125)))</f>
        <v>Ghana</v>
      </c>
      <c r="S125" t="str">
        <f t="shared" si="7"/>
        <v>Finance</v>
      </c>
      <c r="T125" t="str">
        <f t="shared" si="8"/>
        <v>Tema</v>
      </c>
      <c r="U125" t="str">
        <f t="shared" si="9"/>
        <v>21</v>
      </c>
      <c r="V125">
        <f t="shared" si="10"/>
        <v>45000</v>
      </c>
      <c r="W125" t="str">
        <f t="shared" si="11"/>
        <v>Part-Time</v>
      </c>
    </row>
    <row r="126" spans="1:23" x14ac:dyDescent="0.3">
      <c r="A126">
        <v>10125</v>
      </c>
      <c r="B126" t="s">
        <v>106</v>
      </c>
      <c r="C126" t="s">
        <v>176</v>
      </c>
      <c r="D126" t="s">
        <v>196</v>
      </c>
      <c r="E126" t="s">
        <v>207</v>
      </c>
      <c r="F126">
        <v>49</v>
      </c>
      <c r="G126">
        <v>65000</v>
      </c>
      <c r="H126" t="s">
        <v>229</v>
      </c>
      <c r="P126">
        <v>10125</v>
      </c>
      <c r="Q126" t="str">
        <f t="shared" si="6"/>
        <v>Linda Johnson</v>
      </c>
      <c r="R126" t="str">
        <f>_xlfn.XLOOKUP(C126,$AB$2:$AB$5,$AC$2:$AC$5,PROPER(TRIM(C126)))</f>
        <v>Nigeria</v>
      </c>
      <c r="S126" t="str">
        <f t="shared" si="7"/>
        <v>Hr</v>
      </c>
      <c r="T126" t="str">
        <f t="shared" si="8"/>
        <v>Accra</v>
      </c>
      <c r="U126" t="str">
        <f t="shared" si="9"/>
        <v>49</v>
      </c>
      <c r="V126">
        <f t="shared" si="10"/>
        <v>65000</v>
      </c>
      <c r="W126" t="str">
        <f t="shared" si="11"/>
        <v>Contract</v>
      </c>
    </row>
    <row r="127" spans="1:23" x14ac:dyDescent="0.3">
      <c r="A127">
        <v>10126</v>
      </c>
      <c r="B127" t="s">
        <v>55</v>
      </c>
      <c r="C127" t="s">
        <v>186</v>
      </c>
      <c r="D127" t="s">
        <v>187</v>
      </c>
      <c r="E127" t="s">
        <v>200</v>
      </c>
      <c r="F127">
        <v>45</v>
      </c>
      <c r="G127">
        <v>40000</v>
      </c>
      <c r="H127" t="s">
        <v>228</v>
      </c>
      <c r="P127">
        <v>10126</v>
      </c>
      <c r="Q127" t="str">
        <f t="shared" si="6"/>
        <v>Robert Miller</v>
      </c>
      <c r="R127" t="str">
        <f>_xlfn.XLOOKUP(C127,$AB$2:$AB$5,$AC$2:$AC$5,PROPER(TRIM(C127)))</f>
        <v>Ghana</v>
      </c>
      <c r="S127" t="str">
        <f t="shared" si="7"/>
        <v>It</v>
      </c>
      <c r="T127" t="str">
        <f t="shared" si="8"/>
        <v>Lagos</v>
      </c>
      <c r="U127" t="str">
        <f t="shared" si="9"/>
        <v>45</v>
      </c>
      <c r="V127">
        <f t="shared" si="10"/>
        <v>40000</v>
      </c>
      <c r="W127" t="str">
        <f t="shared" si="11"/>
        <v>Part-Time</v>
      </c>
    </row>
    <row r="128" spans="1:23" x14ac:dyDescent="0.3">
      <c r="A128">
        <v>10127</v>
      </c>
      <c r="B128" t="s">
        <v>57</v>
      </c>
      <c r="C128" t="s">
        <v>176</v>
      </c>
      <c r="D128" t="s">
        <v>197</v>
      </c>
      <c r="E128" t="s">
        <v>205</v>
      </c>
      <c r="F128">
        <v>23</v>
      </c>
      <c r="G128">
        <v>40000</v>
      </c>
      <c r="H128" t="s">
        <v>227</v>
      </c>
      <c r="P128">
        <v>10127</v>
      </c>
      <c r="Q128" t="str">
        <f t="shared" si="6"/>
        <v>Brian Brown</v>
      </c>
      <c r="R128" t="str">
        <f>_xlfn.XLOOKUP(C128,$AB$2:$AB$5,$AC$2:$AC$5,PROPER(TRIM(C128)))</f>
        <v>Nigeria</v>
      </c>
      <c r="S128" t="str">
        <f t="shared" si="7"/>
        <v>It</v>
      </c>
      <c r="T128" t="str">
        <f t="shared" si="8"/>
        <v>Tema</v>
      </c>
      <c r="U128" t="str">
        <f t="shared" si="9"/>
        <v>23</v>
      </c>
      <c r="V128">
        <f t="shared" si="10"/>
        <v>40000</v>
      </c>
      <c r="W128" t="str">
        <f t="shared" si="11"/>
        <v>Part-Time</v>
      </c>
    </row>
    <row r="129" spans="1:23" x14ac:dyDescent="0.3">
      <c r="A129">
        <v>10128</v>
      </c>
      <c r="B129" t="s">
        <v>44</v>
      </c>
      <c r="C129" t="s">
        <v>185</v>
      </c>
      <c r="D129" t="s">
        <v>193</v>
      </c>
      <c r="E129" t="s">
        <v>207</v>
      </c>
      <c r="F129">
        <v>45</v>
      </c>
      <c r="G129">
        <v>55000</v>
      </c>
      <c r="H129" t="s">
        <v>228</v>
      </c>
      <c r="P129">
        <v>10128</v>
      </c>
      <c r="Q129" t="str">
        <f t="shared" si="6"/>
        <v>John Johnson</v>
      </c>
      <c r="R129" t="str">
        <f>_xlfn.XLOOKUP(C129,$AB$2:$AB$5,$AC$2:$AC$5,PROPER(TRIM(C129)))</f>
        <v>Ghana</v>
      </c>
      <c r="S129" t="str">
        <f t="shared" si="7"/>
        <v>Operations</v>
      </c>
      <c r="T129" t="str">
        <f t="shared" si="8"/>
        <v>Accra</v>
      </c>
      <c r="U129" t="str">
        <f t="shared" si="9"/>
        <v>45</v>
      </c>
      <c r="V129">
        <f t="shared" si="10"/>
        <v>55000</v>
      </c>
      <c r="W129" t="str">
        <f t="shared" si="11"/>
        <v>Part-Time</v>
      </c>
    </row>
    <row r="130" spans="1:23" x14ac:dyDescent="0.3">
      <c r="A130">
        <v>10129</v>
      </c>
      <c r="B130" t="s">
        <v>106</v>
      </c>
      <c r="C130" t="s">
        <v>173</v>
      </c>
      <c r="D130" t="s">
        <v>187</v>
      </c>
      <c r="E130" t="s">
        <v>208</v>
      </c>
      <c r="F130">
        <v>52</v>
      </c>
      <c r="G130">
        <v>55000</v>
      </c>
      <c r="H130" t="s">
        <v>224</v>
      </c>
      <c r="P130">
        <v>10129</v>
      </c>
      <c r="Q130" t="str">
        <f t="shared" si="6"/>
        <v>Linda Johnson</v>
      </c>
      <c r="R130" t="str">
        <f>_xlfn.XLOOKUP(C130,$AB$2:$AB$5,$AC$2:$AC$5,PROPER(TRIM(C130)))</f>
        <v>South Africa</v>
      </c>
      <c r="S130" t="str">
        <f t="shared" si="7"/>
        <v>It</v>
      </c>
      <c r="T130" t="str">
        <f t="shared" si="8"/>
        <v>Kumasi</v>
      </c>
      <c r="U130" t="str">
        <f t="shared" si="9"/>
        <v>52</v>
      </c>
      <c r="V130">
        <f t="shared" si="10"/>
        <v>55000</v>
      </c>
      <c r="W130" t="str">
        <f t="shared" si="11"/>
        <v>Full-Time</v>
      </c>
    </row>
    <row r="131" spans="1:23" x14ac:dyDescent="0.3">
      <c r="A131">
        <v>10001</v>
      </c>
      <c r="B131" t="s">
        <v>107</v>
      </c>
      <c r="C131" t="s">
        <v>183</v>
      </c>
      <c r="D131" t="s">
        <v>197</v>
      </c>
      <c r="E131" t="s">
        <v>201</v>
      </c>
      <c r="F131">
        <v>21</v>
      </c>
      <c r="G131">
        <v>65000</v>
      </c>
      <c r="H131" t="s">
        <v>224</v>
      </c>
      <c r="P131">
        <v>10001</v>
      </c>
      <c r="Q131" t="str">
        <f t="shared" ref="Q131:Q194" si="12">PROPER(TRIM(B131))</f>
        <v>Kwame Brown</v>
      </c>
      <c r="R131" t="str">
        <f>_xlfn.XLOOKUP(C131,$AB$2:$AB$5,$AC$2:$AC$5,PROPER(TRIM(C131)))</f>
        <v>Nigeria</v>
      </c>
      <c r="S131" t="str">
        <f t="shared" ref="S131:S194" si="13">PROPER(TRIM(D131))</f>
        <v>It</v>
      </c>
      <c r="T131" t="str">
        <f t="shared" ref="T131:T194" si="14">PROPER(TRIM(E131))</f>
        <v>Johannesburg</v>
      </c>
      <c r="U131" t="str">
        <f t="shared" ref="U131:U194" si="15">TRIM(F131)</f>
        <v>21</v>
      </c>
      <c r="V131">
        <f t="shared" ref="V131:V194" si="16">IF(OR(G131="N/A",G131=""),"",IF(ISNUMBER(G131),G131,IF(RIGHT(G131,1)="k",VALUE(SUBSTITUTE(G131,"k",""))*1000,VALUE(SUBSTITUTE(SUBSTITUTE(G131,"$",""),",","")))))</f>
        <v>65000</v>
      </c>
      <c r="W131" t="str">
        <f t="shared" ref="W131:W194" si="17">PROPER(TRIM(H131))</f>
        <v>Full-Time</v>
      </c>
    </row>
    <row r="132" spans="1:23" x14ac:dyDescent="0.3">
      <c r="A132">
        <v>10131</v>
      </c>
      <c r="B132" t="s">
        <v>40</v>
      </c>
      <c r="C132" t="s">
        <v>175</v>
      </c>
      <c r="D132" t="s">
        <v>191</v>
      </c>
      <c r="E132" t="s">
        <v>207</v>
      </c>
      <c r="F132">
        <v>28</v>
      </c>
      <c r="G132">
        <v>90000</v>
      </c>
      <c r="H132" t="s">
        <v>231</v>
      </c>
      <c r="P132">
        <v>10131</v>
      </c>
      <c r="Q132" t="str">
        <f t="shared" si="12"/>
        <v>Nana Mensah</v>
      </c>
      <c r="R132" t="str">
        <f>_xlfn.XLOOKUP(C132,$AB$2:$AB$5,$AC$2:$AC$5,PROPER(TRIM(C132)))</f>
        <v>Ghana</v>
      </c>
      <c r="S132" t="str">
        <f t="shared" si="13"/>
        <v>Finance</v>
      </c>
      <c r="T132" t="str">
        <f t="shared" si="14"/>
        <v>Accra</v>
      </c>
      <c r="U132" t="str">
        <f t="shared" si="15"/>
        <v>28</v>
      </c>
      <c r="V132">
        <f t="shared" si="16"/>
        <v>90000</v>
      </c>
      <c r="W132" t="str">
        <f t="shared" si="17"/>
        <v>Contract</v>
      </c>
    </row>
    <row r="133" spans="1:23" x14ac:dyDescent="0.3">
      <c r="A133">
        <v>10132</v>
      </c>
      <c r="B133" t="s">
        <v>108</v>
      </c>
      <c r="C133" t="s">
        <v>184</v>
      </c>
      <c r="D133" t="s">
        <v>198</v>
      </c>
      <c r="E133" t="s">
        <v>206</v>
      </c>
      <c r="F133">
        <v>33</v>
      </c>
      <c r="G133">
        <v>50000</v>
      </c>
      <c r="H133" t="s">
        <v>225</v>
      </c>
      <c r="P133">
        <v>10132</v>
      </c>
      <c r="Q133" t="str">
        <f t="shared" si="12"/>
        <v>Daniel Okafor</v>
      </c>
      <c r="R133" t="str">
        <f>_xlfn.XLOOKUP(C133,$AB$2:$AB$5,$AC$2:$AC$5,PROPER(TRIM(C133)))</f>
        <v>Ghana</v>
      </c>
      <c r="S133" t="str">
        <f t="shared" si="13"/>
        <v>Sales</v>
      </c>
      <c r="T133" t="str">
        <f t="shared" si="14"/>
        <v>Tema</v>
      </c>
      <c r="U133" t="str">
        <f t="shared" si="15"/>
        <v>33</v>
      </c>
      <c r="V133">
        <f t="shared" si="16"/>
        <v>50000</v>
      </c>
      <c r="W133" t="str">
        <f t="shared" si="17"/>
        <v>Intern</v>
      </c>
    </row>
    <row r="134" spans="1:23" x14ac:dyDescent="0.3">
      <c r="A134">
        <v>10133</v>
      </c>
      <c r="B134" t="s">
        <v>109</v>
      </c>
      <c r="C134" t="s">
        <v>186</v>
      </c>
      <c r="D134" t="s">
        <v>193</v>
      </c>
      <c r="E134" t="s">
        <v>208</v>
      </c>
      <c r="F134">
        <v>54</v>
      </c>
      <c r="G134">
        <v>30000</v>
      </c>
      <c r="H134" t="s">
        <v>225</v>
      </c>
      <c r="P134">
        <v>10133</v>
      </c>
      <c r="Q134" t="str">
        <f t="shared" si="12"/>
        <v>Linda Miller</v>
      </c>
      <c r="R134" t="str">
        <f>_xlfn.XLOOKUP(C134,$AB$2:$AB$5,$AC$2:$AC$5,PROPER(TRIM(C134)))</f>
        <v>Ghana</v>
      </c>
      <c r="S134" t="str">
        <f t="shared" si="13"/>
        <v>Operations</v>
      </c>
      <c r="T134" t="str">
        <f t="shared" si="14"/>
        <v>Kumasi</v>
      </c>
      <c r="U134" t="str">
        <f t="shared" si="15"/>
        <v>54</v>
      </c>
      <c r="V134">
        <f t="shared" si="16"/>
        <v>30000</v>
      </c>
      <c r="W134" t="str">
        <f t="shared" si="17"/>
        <v>Intern</v>
      </c>
    </row>
    <row r="135" spans="1:23" x14ac:dyDescent="0.3">
      <c r="A135">
        <v>10134</v>
      </c>
      <c r="B135" t="s">
        <v>110</v>
      </c>
      <c r="C135" t="s">
        <v>175</v>
      </c>
      <c r="D135" t="s">
        <v>193</v>
      </c>
      <c r="E135" t="s">
        <v>208</v>
      </c>
      <c r="F135">
        <v>40</v>
      </c>
      <c r="G135" t="s">
        <v>219</v>
      </c>
      <c r="H135" t="s">
        <v>228</v>
      </c>
      <c r="P135">
        <v>10134</v>
      </c>
      <c r="Q135" t="str">
        <f t="shared" si="12"/>
        <v>Samuel Miller</v>
      </c>
      <c r="R135" t="str">
        <f>_xlfn.XLOOKUP(C135,$AB$2:$AB$5,$AC$2:$AC$5,PROPER(TRIM(C135)))</f>
        <v>Ghana</v>
      </c>
      <c r="S135" t="str">
        <f t="shared" si="13"/>
        <v>Operations</v>
      </c>
      <c r="T135" t="str">
        <f t="shared" si="14"/>
        <v>Kumasi</v>
      </c>
      <c r="U135" t="str">
        <f t="shared" si="15"/>
        <v>40</v>
      </c>
      <c r="V135">
        <f t="shared" si="16"/>
        <v>50000</v>
      </c>
      <c r="W135" t="str">
        <f t="shared" si="17"/>
        <v>Part-Time</v>
      </c>
    </row>
    <row r="136" spans="1:23" x14ac:dyDescent="0.3">
      <c r="A136">
        <v>10135</v>
      </c>
      <c r="B136" t="s">
        <v>111</v>
      </c>
      <c r="C136" t="s">
        <v>182</v>
      </c>
      <c r="D136" t="s">
        <v>199</v>
      </c>
      <c r="E136" t="s">
        <v>210</v>
      </c>
      <c r="F136">
        <v>44</v>
      </c>
      <c r="G136">
        <v>35000</v>
      </c>
      <c r="H136" t="s">
        <v>225</v>
      </c>
      <c r="P136">
        <v>10135</v>
      </c>
      <c r="Q136" t="str">
        <f t="shared" si="12"/>
        <v>Robert Adams</v>
      </c>
      <c r="R136" t="str">
        <f>_xlfn.XLOOKUP(C136,$AB$2:$AB$5,$AC$2:$AC$5,PROPER(TRIM(C136)))</f>
        <v>South Africa</v>
      </c>
      <c r="S136" t="str">
        <f t="shared" si="13"/>
        <v>Marketing</v>
      </c>
      <c r="T136" t="str">
        <f t="shared" si="14"/>
        <v>Nairobi</v>
      </c>
      <c r="U136" t="str">
        <f t="shared" si="15"/>
        <v>44</v>
      </c>
      <c r="V136">
        <f t="shared" si="16"/>
        <v>35000</v>
      </c>
      <c r="W136" t="str">
        <f t="shared" si="17"/>
        <v>Intern</v>
      </c>
    </row>
    <row r="137" spans="1:23" x14ac:dyDescent="0.3">
      <c r="A137">
        <v>10136</v>
      </c>
      <c r="B137" t="s">
        <v>112</v>
      </c>
      <c r="C137" t="s">
        <v>181</v>
      </c>
      <c r="D137" t="s">
        <v>195</v>
      </c>
      <c r="E137" t="s">
        <v>205</v>
      </c>
      <c r="F137">
        <v>52</v>
      </c>
      <c r="G137">
        <v>60000</v>
      </c>
      <c r="H137" t="s">
        <v>231</v>
      </c>
      <c r="P137">
        <v>10136</v>
      </c>
      <c r="Q137" t="str">
        <f t="shared" si="12"/>
        <v>Samuel Okafor</v>
      </c>
      <c r="R137" t="str">
        <f>_xlfn.XLOOKUP(C137,$AB$2:$AB$5,$AC$2:$AC$5,PROPER(TRIM(C137)))</f>
        <v>Nigeria</v>
      </c>
      <c r="S137" t="str">
        <f t="shared" si="13"/>
        <v>Sales</v>
      </c>
      <c r="T137" t="str">
        <f t="shared" si="14"/>
        <v>Tema</v>
      </c>
      <c r="U137" t="str">
        <f t="shared" si="15"/>
        <v>52</v>
      </c>
      <c r="V137">
        <f t="shared" si="16"/>
        <v>60000</v>
      </c>
      <c r="W137" t="str">
        <f t="shared" si="17"/>
        <v>Contract</v>
      </c>
    </row>
    <row r="138" spans="1:23" x14ac:dyDescent="0.3">
      <c r="A138">
        <v>10137</v>
      </c>
      <c r="B138" t="s">
        <v>113</v>
      </c>
      <c r="C138" t="s">
        <v>178</v>
      </c>
      <c r="D138" t="s">
        <v>198</v>
      </c>
      <c r="E138" t="s">
        <v>207</v>
      </c>
      <c r="F138">
        <v>21</v>
      </c>
      <c r="G138">
        <v>50000</v>
      </c>
      <c r="H138" t="s">
        <v>225</v>
      </c>
      <c r="P138">
        <v>10137</v>
      </c>
      <c r="Q138" t="str">
        <f t="shared" si="12"/>
        <v>James Mensah</v>
      </c>
      <c r="R138" t="str">
        <f>_xlfn.XLOOKUP(C138,$AB$2:$AB$5,$AC$2:$AC$5,PROPER(TRIM(C138)))</f>
        <v>Kenya</v>
      </c>
      <c r="S138" t="str">
        <f t="shared" si="13"/>
        <v>Sales</v>
      </c>
      <c r="T138" t="str">
        <f t="shared" si="14"/>
        <v>Accra</v>
      </c>
      <c r="U138" t="str">
        <f t="shared" si="15"/>
        <v>21</v>
      </c>
      <c r="V138">
        <f t="shared" si="16"/>
        <v>50000</v>
      </c>
      <c r="W138" t="str">
        <f t="shared" si="17"/>
        <v>Intern</v>
      </c>
    </row>
    <row r="139" spans="1:23" x14ac:dyDescent="0.3">
      <c r="A139">
        <v>10138</v>
      </c>
      <c r="B139" t="s">
        <v>114</v>
      </c>
      <c r="C139" t="s">
        <v>183</v>
      </c>
      <c r="D139" t="s">
        <v>195</v>
      </c>
      <c r="E139" t="s">
        <v>205</v>
      </c>
      <c r="F139">
        <v>25</v>
      </c>
      <c r="G139">
        <v>40000</v>
      </c>
      <c r="H139" t="s">
        <v>231</v>
      </c>
      <c r="P139">
        <v>10138</v>
      </c>
      <c r="Q139" t="str">
        <f t="shared" si="12"/>
        <v>Samuel Smith</v>
      </c>
      <c r="R139" t="str">
        <f>_xlfn.XLOOKUP(C139,$AB$2:$AB$5,$AC$2:$AC$5,PROPER(TRIM(C139)))</f>
        <v>Nigeria</v>
      </c>
      <c r="S139" t="str">
        <f t="shared" si="13"/>
        <v>Sales</v>
      </c>
      <c r="T139" t="str">
        <f t="shared" si="14"/>
        <v>Tema</v>
      </c>
      <c r="U139" t="str">
        <f t="shared" si="15"/>
        <v>25</v>
      </c>
      <c r="V139">
        <f t="shared" si="16"/>
        <v>40000</v>
      </c>
      <c r="W139" t="str">
        <f t="shared" si="17"/>
        <v>Contract</v>
      </c>
    </row>
    <row r="140" spans="1:23" x14ac:dyDescent="0.3">
      <c r="A140">
        <v>10139</v>
      </c>
      <c r="B140" t="s">
        <v>77</v>
      </c>
      <c r="C140" t="s">
        <v>179</v>
      </c>
      <c r="D140" t="s">
        <v>199</v>
      </c>
      <c r="E140" t="s">
        <v>207</v>
      </c>
      <c r="F140">
        <v>49</v>
      </c>
      <c r="G140">
        <v>60000</v>
      </c>
      <c r="H140" t="s">
        <v>226</v>
      </c>
      <c r="P140">
        <v>10139</v>
      </c>
      <c r="Q140" t="str">
        <f t="shared" si="12"/>
        <v>Robert Kamau</v>
      </c>
      <c r="R140" t="str">
        <f>_xlfn.XLOOKUP(C140,$AB$2:$AB$5,$AC$2:$AC$5,PROPER(TRIM(C140)))</f>
        <v>Kenya</v>
      </c>
      <c r="S140" t="str">
        <f t="shared" si="13"/>
        <v>Marketing</v>
      </c>
      <c r="T140" t="str">
        <f t="shared" si="14"/>
        <v>Accra</v>
      </c>
      <c r="U140" t="str">
        <f t="shared" si="15"/>
        <v>49</v>
      </c>
      <c r="V140">
        <f t="shared" si="16"/>
        <v>60000</v>
      </c>
      <c r="W140" t="str">
        <f t="shared" si="17"/>
        <v>Full Time</v>
      </c>
    </row>
    <row r="141" spans="1:23" x14ac:dyDescent="0.3">
      <c r="A141">
        <v>10140</v>
      </c>
      <c r="B141" t="s">
        <v>115</v>
      </c>
      <c r="C141" t="s">
        <v>178</v>
      </c>
      <c r="D141" t="s">
        <v>198</v>
      </c>
      <c r="E141" t="s">
        <v>206</v>
      </c>
      <c r="F141">
        <v>17</v>
      </c>
      <c r="G141">
        <v>60000</v>
      </c>
      <c r="H141" t="s">
        <v>230</v>
      </c>
      <c r="P141">
        <v>10140</v>
      </c>
      <c r="Q141" t="str">
        <f t="shared" si="12"/>
        <v>Michael Williams</v>
      </c>
      <c r="R141" t="str">
        <f>_xlfn.XLOOKUP(C141,$AB$2:$AB$5,$AC$2:$AC$5,PROPER(TRIM(C141)))</f>
        <v>Kenya</v>
      </c>
      <c r="S141" t="str">
        <f t="shared" si="13"/>
        <v>Sales</v>
      </c>
      <c r="T141" t="str">
        <f t="shared" si="14"/>
        <v>Tema</v>
      </c>
      <c r="U141" t="str">
        <f t="shared" si="15"/>
        <v>17</v>
      </c>
      <c r="V141">
        <f t="shared" si="16"/>
        <v>60000</v>
      </c>
      <c r="W141" t="str">
        <f t="shared" si="17"/>
        <v>Full-Time</v>
      </c>
    </row>
    <row r="142" spans="1:23" x14ac:dyDescent="0.3">
      <c r="A142">
        <v>10141</v>
      </c>
      <c r="B142" t="s">
        <v>83</v>
      </c>
      <c r="C142" t="s">
        <v>186</v>
      </c>
      <c r="D142" t="s">
        <v>197</v>
      </c>
      <c r="E142" t="s">
        <v>206</v>
      </c>
      <c r="F142">
        <v>29</v>
      </c>
      <c r="G142">
        <v>30000</v>
      </c>
      <c r="H142" t="s">
        <v>229</v>
      </c>
      <c r="P142">
        <v>10141</v>
      </c>
      <c r="Q142" t="str">
        <f t="shared" si="12"/>
        <v>Michael Williams</v>
      </c>
      <c r="R142" t="str">
        <f>_xlfn.XLOOKUP(C142,$AB$2:$AB$5,$AC$2:$AC$5,PROPER(TRIM(C142)))</f>
        <v>Ghana</v>
      </c>
      <c r="S142" t="str">
        <f t="shared" si="13"/>
        <v>It</v>
      </c>
      <c r="T142" t="str">
        <f t="shared" si="14"/>
        <v>Tema</v>
      </c>
      <c r="U142" t="str">
        <f t="shared" si="15"/>
        <v>29</v>
      </c>
      <c r="V142">
        <f t="shared" si="16"/>
        <v>30000</v>
      </c>
      <c r="W142" t="str">
        <f t="shared" si="17"/>
        <v>Contract</v>
      </c>
    </row>
    <row r="143" spans="1:23" x14ac:dyDescent="0.3">
      <c r="A143">
        <v>10142</v>
      </c>
      <c r="B143" t="s">
        <v>116</v>
      </c>
      <c r="C143" t="s">
        <v>173</v>
      </c>
      <c r="D143" t="s">
        <v>194</v>
      </c>
      <c r="E143" t="s">
        <v>202</v>
      </c>
      <c r="F143">
        <v>34</v>
      </c>
      <c r="G143">
        <v>65000</v>
      </c>
      <c r="H143" t="s">
        <v>228</v>
      </c>
      <c r="P143">
        <v>10142</v>
      </c>
      <c r="Q143" t="str">
        <f t="shared" si="12"/>
        <v>Daniel Johnson</v>
      </c>
      <c r="R143" t="str">
        <f>_xlfn.XLOOKUP(C143,$AB$2:$AB$5,$AC$2:$AC$5,PROPER(TRIM(C143)))</f>
        <v>South Africa</v>
      </c>
      <c r="S143" t="str">
        <f t="shared" si="13"/>
        <v>Finance</v>
      </c>
      <c r="T143" t="str">
        <f t="shared" si="14"/>
        <v>Kumasi</v>
      </c>
      <c r="U143" t="str">
        <f t="shared" si="15"/>
        <v>34</v>
      </c>
      <c r="V143">
        <f t="shared" si="16"/>
        <v>65000</v>
      </c>
      <c r="W143" t="str">
        <f t="shared" si="17"/>
        <v>Part-Time</v>
      </c>
    </row>
    <row r="144" spans="1:23" x14ac:dyDescent="0.3">
      <c r="A144">
        <v>10143</v>
      </c>
      <c r="B144" t="s">
        <v>117</v>
      </c>
      <c r="C144" t="s">
        <v>177</v>
      </c>
      <c r="D144" t="s">
        <v>189</v>
      </c>
      <c r="E144" t="s">
        <v>203</v>
      </c>
      <c r="F144">
        <v>46</v>
      </c>
      <c r="G144">
        <v>40000</v>
      </c>
      <c r="H144" t="s">
        <v>226</v>
      </c>
      <c r="P144">
        <v>10143</v>
      </c>
      <c r="Q144" t="str">
        <f t="shared" si="12"/>
        <v>James Johnson</v>
      </c>
      <c r="R144" t="str">
        <f>_xlfn.XLOOKUP(C144,$AB$2:$AB$5,$AC$2:$AC$5,PROPER(TRIM(C144)))</f>
        <v>South Africa</v>
      </c>
      <c r="S144" t="str">
        <f t="shared" si="13"/>
        <v>Operations</v>
      </c>
      <c r="T144" t="str">
        <f t="shared" si="14"/>
        <v>Accra</v>
      </c>
      <c r="U144" t="str">
        <f t="shared" si="15"/>
        <v>46</v>
      </c>
      <c r="V144">
        <f t="shared" si="16"/>
        <v>40000</v>
      </c>
      <c r="W144" t="str">
        <f t="shared" si="17"/>
        <v>Full Time</v>
      </c>
    </row>
    <row r="145" spans="1:23" x14ac:dyDescent="0.3">
      <c r="A145">
        <v>10144</v>
      </c>
      <c r="B145" t="s">
        <v>118</v>
      </c>
      <c r="C145" t="s">
        <v>179</v>
      </c>
      <c r="D145" t="s">
        <v>187</v>
      </c>
      <c r="E145" t="s">
        <v>209</v>
      </c>
      <c r="F145">
        <v>24</v>
      </c>
      <c r="G145">
        <v>45000</v>
      </c>
      <c r="H145" t="s">
        <v>226</v>
      </c>
      <c r="P145">
        <v>10144</v>
      </c>
      <c r="Q145" t="str">
        <f t="shared" si="12"/>
        <v>Michael Johnson</v>
      </c>
      <c r="R145" t="str">
        <f>_xlfn.XLOOKUP(C145,$AB$2:$AB$5,$AC$2:$AC$5,PROPER(TRIM(C145)))</f>
        <v>Kenya</v>
      </c>
      <c r="S145" t="str">
        <f t="shared" si="13"/>
        <v>It</v>
      </c>
      <c r="T145" t="str">
        <f t="shared" si="14"/>
        <v>Johannesburg</v>
      </c>
      <c r="U145" t="str">
        <f t="shared" si="15"/>
        <v>24</v>
      </c>
      <c r="V145">
        <f t="shared" si="16"/>
        <v>45000</v>
      </c>
      <c r="W145" t="str">
        <f t="shared" si="17"/>
        <v>Full Time</v>
      </c>
    </row>
    <row r="146" spans="1:23" x14ac:dyDescent="0.3">
      <c r="A146">
        <v>10145</v>
      </c>
      <c r="B146" t="s">
        <v>119</v>
      </c>
      <c r="C146" t="s">
        <v>176</v>
      </c>
      <c r="D146" t="s">
        <v>196</v>
      </c>
      <c r="E146" t="s">
        <v>200</v>
      </c>
      <c r="F146">
        <v>42</v>
      </c>
      <c r="G146">
        <v>80000</v>
      </c>
      <c r="H146" t="s">
        <v>229</v>
      </c>
      <c r="P146">
        <v>10145</v>
      </c>
      <c r="Q146" t="str">
        <f t="shared" si="12"/>
        <v>Kwame Kamau</v>
      </c>
      <c r="R146" t="str">
        <f>_xlfn.XLOOKUP(C146,$AB$2:$AB$5,$AC$2:$AC$5,PROPER(TRIM(C146)))</f>
        <v>Nigeria</v>
      </c>
      <c r="S146" t="str">
        <f t="shared" si="13"/>
        <v>Hr</v>
      </c>
      <c r="T146" t="str">
        <f t="shared" si="14"/>
        <v>Lagos</v>
      </c>
      <c r="U146" t="str">
        <f t="shared" si="15"/>
        <v>42</v>
      </c>
      <c r="V146">
        <f t="shared" si="16"/>
        <v>80000</v>
      </c>
      <c r="W146" t="str">
        <f t="shared" si="17"/>
        <v>Contract</v>
      </c>
    </row>
    <row r="147" spans="1:23" x14ac:dyDescent="0.3">
      <c r="A147">
        <v>10146</v>
      </c>
      <c r="B147" t="s">
        <v>27</v>
      </c>
      <c r="C147" t="s">
        <v>173</v>
      </c>
      <c r="D147" t="s">
        <v>194</v>
      </c>
      <c r="E147" t="s">
        <v>203</v>
      </c>
      <c r="F147">
        <v>44</v>
      </c>
      <c r="G147">
        <v>30000</v>
      </c>
      <c r="H147" t="s">
        <v>231</v>
      </c>
      <c r="P147">
        <v>10146</v>
      </c>
      <c r="Q147" t="str">
        <f t="shared" si="12"/>
        <v>Linda Adams</v>
      </c>
      <c r="R147" t="str">
        <f>_xlfn.XLOOKUP(C147,$AB$2:$AB$5,$AC$2:$AC$5,PROPER(TRIM(C147)))</f>
        <v>South Africa</v>
      </c>
      <c r="S147" t="str">
        <f t="shared" si="13"/>
        <v>Finance</v>
      </c>
      <c r="T147" t="str">
        <f t="shared" si="14"/>
        <v>Accra</v>
      </c>
      <c r="U147" t="str">
        <f t="shared" si="15"/>
        <v>44</v>
      </c>
      <c r="V147">
        <f t="shared" si="16"/>
        <v>30000</v>
      </c>
      <c r="W147" t="str">
        <f t="shared" si="17"/>
        <v>Contract</v>
      </c>
    </row>
    <row r="148" spans="1:23" x14ac:dyDescent="0.3">
      <c r="A148">
        <v>10147</v>
      </c>
      <c r="B148" t="s">
        <v>42</v>
      </c>
      <c r="C148" t="s">
        <v>180</v>
      </c>
      <c r="D148" t="s">
        <v>192</v>
      </c>
      <c r="E148" t="s">
        <v>200</v>
      </c>
      <c r="F148">
        <v>56</v>
      </c>
      <c r="G148">
        <v>65000</v>
      </c>
      <c r="H148" t="s">
        <v>231</v>
      </c>
      <c r="P148">
        <v>10147</v>
      </c>
      <c r="Q148" t="str">
        <f t="shared" si="12"/>
        <v>Samuel Johnson</v>
      </c>
      <c r="R148" t="str">
        <f>_xlfn.XLOOKUP(C148,$AB$2:$AB$5,$AC$2:$AC$5,PROPER(TRIM(C148)))</f>
        <v>Ghana</v>
      </c>
      <c r="S148" t="str">
        <f t="shared" si="13"/>
        <v>Marketing</v>
      </c>
      <c r="T148" t="str">
        <f t="shared" si="14"/>
        <v>Lagos</v>
      </c>
      <c r="U148" t="str">
        <f t="shared" si="15"/>
        <v>56</v>
      </c>
      <c r="V148">
        <f t="shared" si="16"/>
        <v>65000</v>
      </c>
      <c r="W148" t="str">
        <f t="shared" si="17"/>
        <v>Contract</v>
      </c>
    </row>
    <row r="149" spans="1:23" x14ac:dyDescent="0.3">
      <c r="A149">
        <v>10148</v>
      </c>
      <c r="B149" t="s">
        <v>93</v>
      </c>
      <c r="C149" t="s">
        <v>177</v>
      </c>
      <c r="D149" t="s">
        <v>197</v>
      </c>
      <c r="E149" t="s">
        <v>210</v>
      </c>
      <c r="F149">
        <v>48</v>
      </c>
      <c r="G149" t="s">
        <v>215</v>
      </c>
      <c r="H149" t="s">
        <v>230</v>
      </c>
      <c r="P149">
        <v>10148</v>
      </c>
      <c r="Q149" t="str">
        <f t="shared" si="12"/>
        <v>Kwame Mensah</v>
      </c>
      <c r="R149" t="str">
        <f>_xlfn.XLOOKUP(C149,$AB$2:$AB$5,$AC$2:$AC$5,PROPER(TRIM(C149)))</f>
        <v>South Africa</v>
      </c>
      <c r="S149" t="str">
        <f t="shared" si="13"/>
        <v>It</v>
      </c>
      <c r="T149" t="str">
        <f t="shared" si="14"/>
        <v>Nairobi</v>
      </c>
      <c r="U149" t="str">
        <f t="shared" si="15"/>
        <v>48</v>
      </c>
      <c r="V149">
        <f t="shared" si="16"/>
        <v>65000</v>
      </c>
      <c r="W149" t="str">
        <f t="shared" si="17"/>
        <v>Full-Time</v>
      </c>
    </row>
    <row r="150" spans="1:23" x14ac:dyDescent="0.3">
      <c r="A150">
        <v>10149</v>
      </c>
      <c r="B150" t="s">
        <v>120</v>
      </c>
      <c r="C150" t="s">
        <v>185</v>
      </c>
      <c r="D150" t="s">
        <v>192</v>
      </c>
      <c r="E150" t="s">
        <v>206</v>
      </c>
      <c r="F150">
        <v>45</v>
      </c>
      <c r="G150" t="s">
        <v>216</v>
      </c>
      <c r="H150" t="s">
        <v>229</v>
      </c>
      <c r="P150">
        <v>10149</v>
      </c>
      <c r="Q150" t="str">
        <f t="shared" si="12"/>
        <v>Linda Okafor</v>
      </c>
      <c r="R150" t="str">
        <f>_xlfn.XLOOKUP(C150,$AB$2:$AB$5,$AC$2:$AC$5,PROPER(TRIM(C150)))</f>
        <v>Ghana</v>
      </c>
      <c r="S150" t="str">
        <f t="shared" si="13"/>
        <v>Marketing</v>
      </c>
      <c r="T150" t="str">
        <f t="shared" si="14"/>
        <v>Tema</v>
      </c>
      <c r="U150" t="str">
        <f t="shared" si="15"/>
        <v>45</v>
      </c>
      <c r="V150" t="str">
        <f t="shared" si="16"/>
        <v/>
      </c>
      <c r="W150" t="str">
        <f t="shared" si="17"/>
        <v>Contract</v>
      </c>
    </row>
    <row r="151" spans="1:23" x14ac:dyDescent="0.3">
      <c r="A151">
        <v>10150</v>
      </c>
      <c r="B151" t="s">
        <v>121</v>
      </c>
      <c r="C151" t="s">
        <v>183</v>
      </c>
      <c r="D151" t="s">
        <v>195</v>
      </c>
      <c r="E151" t="s">
        <v>200</v>
      </c>
      <c r="F151">
        <v>34</v>
      </c>
      <c r="G151">
        <v>50000</v>
      </c>
      <c r="H151" t="s">
        <v>231</v>
      </c>
      <c r="P151">
        <v>10150</v>
      </c>
      <c r="Q151" t="str">
        <f t="shared" si="12"/>
        <v>John Williams</v>
      </c>
      <c r="R151" t="str">
        <f>_xlfn.XLOOKUP(C151,$AB$2:$AB$5,$AC$2:$AC$5,PROPER(TRIM(C151)))</f>
        <v>Nigeria</v>
      </c>
      <c r="S151" t="str">
        <f t="shared" si="13"/>
        <v>Sales</v>
      </c>
      <c r="T151" t="str">
        <f t="shared" si="14"/>
        <v>Lagos</v>
      </c>
      <c r="U151" t="str">
        <f t="shared" si="15"/>
        <v>34</v>
      </c>
      <c r="V151">
        <f t="shared" si="16"/>
        <v>50000</v>
      </c>
      <c r="W151" t="str">
        <f t="shared" si="17"/>
        <v>Contract</v>
      </c>
    </row>
    <row r="152" spans="1:23" x14ac:dyDescent="0.3">
      <c r="A152">
        <v>10151</v>
      </c>
      <c r="B152" t="s">
        <v>122</v>
      </c>
      <c r="C152" t="s">
        <v>178</v>
      </c>
      <c r="D152" t="s">
        <v>197</v>
      </c>
      <c r="E152" t="s">
        <v>202</v>
      </c>
      <c r="F152">
        <v>45</v>
      </c>
      <c r="G152">
        <v>70000</v>
      </c>
      <c r="H152" t="s">
        <v>226</v>
      </c>
      <c r="P152">
        <v>10151</v>
      </c>
      <c r="Q152" t="str">
        <f t="shared" si="12"/>
        <v>Emma Brown</v>
      </c>
      <c r="R152" t="str">
        <f>_xlfn.XLOOKUP(C152,$AB$2:$AB$5,$AC$2:$AC$5,PROPER(TRIM(C152)))</f>
        <v>Kenya</v>
      </c>
      <c r="S152" t="str">
        <f t="shared" si="13"/>
        <v>It</v>
      </c>
      <c r="T152" t="str">
        <f t="shared" si="14"/>
        <v>Kumasi</v>
      </c>
      <c r="U152" t="str">
        <f t="shared" si="15"/>
        <v>45</v>
      </c>
      <c r="V152">
        <f t="shared" si="16"/>
        <v>70000</v>
      </c>
      <c r="W152" t="str">
        <f t="shared" si="17"/>
        <v>Full Time</v>
      </c>
    </row>
    <row r="153" spans="1:23" x14ac:dyDescent="0.3">
      <c r="A153">
        <v>10152</v>
      </c>
      <c r="B153" t="s">
        <v>28</v>
      </c>
      <c r="C153" t="s">
        <v>179</v>
      </c>
      <c r="D153" t="s">
        <v>187</v>
      </c>
      <c r="F153">
        <v>21</v>
      </c>
      <c r="G153">
        <v>60000</v>
      </c>
      <c r="H153" t="s">
        <v>224</v>
      </c>
      <c r="P153">
        <v>10152</v>
      </c>
      <c r="Q153" t="str">
        <f t="shared" si="12"/>
        <v>Nana Miller</v>
      </c>
      <c r="R153" t="str">
        <f>_xlfn.XLOOKUP(C153,$AB$2:$AB$5,$AC$2:$AC$5,PROPER(TRIM(C153)))</f>
        <v>Kenya</v>
      </c>
      <c r="S153" t="str">
        <f t="shared" si="13"/>
        <v>It</v>
      </c>
      <c r="T153" t="str">
        <f t="shared" si="14"/>
        <v/>
      </c>
      <c r="U153" t="str">
        <f t="shared" si="15"/>
        <v>21</v>
      </c>
      <c r="V153">
        <f t="shared" si="16"/>
        <v>60000</v>
      </c>
      <c r="W153" t="str">
        <f t="shared" si="17"/>
        <v>Full-Time</v>
      </c>
    </row>
    <row r="154" spans="1:23" x14ac:dyDescent="0.3">
      <c r="A154">
        <v>10153</v>
      </c>
      <c r="B154" t="s">
        <v>66</v>
      </c>
      <c r="C154" t="s">
        <v>174</v>
      </c>
      <c r="D154" t="s">
        <v>187</v>
      </c>
      <c r="E154" t="s">
        <v>201</v>
      </c>
      <c r="G154">
        <v>70000</v>
      </c>
      <c r="H154" t="s">
        <v>231</v>
      </c>
      <c r="P154">
        <v>10153</v>
      </c>
      <c r="Q154" t="str">
        <f t="shared" si="12"/>
        <v>Sarah Mensah</v>
      </c>
      <c r="R154" t="str">
        <f>_xlfn.XLOOKUP(C154,$AB$2:$AB$5,$AC$2:$AC$5,PROPER(TRIM(C154)))</f>
        <v>Kenya</v>
      </c>
      <c r="S154" t="str">
        <f t="shared" si="13"/>
        <v>It</v>
      </c>
      <c r="T154" t="str">
        <f t="shared" si="14"/>
        <v>Johannesburg</v>
      </c>
      <c r="U154" t="str">
        <f t="shared" si="15"/>
        <v/>
      </c>
      <c r="V154">
        <f t="shared" si="16"/>
        <v>70000</v>
      </c>
      <c r="W154" t="str">
        <f t="shared" si="17"/>
        <v>Contract</v>
      </c>
    </row>
    <row r="155" spans="1:23" x14ac:dyDescent="0.3">
      <c r="A155">
        <v>10154</v>
      </c>
      <c r="B155" t="s">
        <v>123</v>
      </c>
      <c r="C155" t="s">
        <v>175</v>
      </c>
      <c r="D155" t="s">
        <v>194</v>
      </c>
      <c r="E155" t="s">
        <v>207</v>
      </c>
      <c r="F155">
        <v>48</v>
      </c>
      <c r="G155">
        <v>90000</v>
      </c>
      <c r="H155" t="s">
        <v>229</v>
      </c>
      <c r="P155">
        <v>10154</v>
      </c>
      <c r="Q155" t="str">
        <f t="shared" si="12"/>
        <v>Nana Williams</v>
      </c>
      <c r="R155" t="str">
        <f>_xlfn.XLOOKUP(C155,$AB$2:$AB$5,$AC$2:$AC$5,PROPER(TRIM(C155)))</f>
        <v>Ghana</v>
      </c>
      <c r="S155" t="str">
        <f t="shared" si="13"/>
        <v>Finance</v>
      </c>
      <c r="T155" t="str">
        <f t="shared" si="14"/>
        <v>Accra</v>
      </c>
      <c r="U155" t="str">
        <f t="shared" si="15"/>
        <v>48</v>
      </c>
      <c r="V155">
        <f t="shared" si="16"/>
        <v>90000</v>
      </c>
      <c r="W155" t="str">
        <f t="shared" si="17"/>
        <v>Contract</v>
      </c>
    </row>
    <row r="156" spans="1:23" x14ac:dyDescent="0.3">
      <c r="A156">
        <v>10155</v>
      </c>
      <c r="B156" t="s">
        <v>85</v>
      </c>
      <c r="C156" t="s">
        <v>185</v>
      </c>
      <c r="D156" t="s">
        <v>190</v>
      </c>
      <c r="E156" t="s">
        <v>207</v>
      </c>
      <c r="F156">
        <v>39</v>
      </c>
      <c r="G156">
        <v>70000</v>
      </c>
      <c r="H156" t="s">
        <v>230</v>
      </c>
      <c r="P156">
        <v>10155</v>
      </c>
      <c r="Q156" t="str">
        <f t="shared" si="12"/>
        <v>Fatima Brown</v>
      </c>
      <c r="R156" t="str">
        <f>_xlfn.XLOOKUP(C156,$AB$2:$AB$5,$AC$2:$AC$5,PROPER(TRIM(C156)))</f>
        <v>Ghana</v>
      </c>
      <c r="S156" t="str">
        <f t="shared" si="13"/>
        <v>Hr</v>
      </c>
      <c r="T156" t="str">
        <f t="shared" si="14"/>
        <v>Accra</v>
      </c>
      <c r="U156" t="str">
        <f t="shared" si="15"/>
        <v>39</v>
      </c>
      <c r="V156">
        <f t="shared" si="16"/>
        <v>70000</v>
      </c>
      <c r="W156" t="str">
        <f t="shared" si="17"/>
        <v>Full-Time</v>
      </c>
    </row>
    <row r="157" spans="1:23" x14ac:dyDescent="0.3">
      <c r="A157">
        <v>10156</v>
      </c>
      <c r="B157" t="s">
        <v>123</v>
      </c>
      <c r="C157" t="s">
        <v>176</v>
      </c>
      <c r="D157" t="s">
        <v>193</v>
      </c>
      <c r="E157" t="s">
        <v>200</v>
      </c>
      <c r="F157">
        <v>26</v>
      </c>
      <c r="G157">
        <v>30000</v>
      </c>
      <c r="H157" t="s">
        <v>225</v>
      </c>
      <c r="P157">
        <v>10156</v>
      </c>
      <c r="Q157" t="str">
        <f t="shared" si="12"/>
        <v>Nana Williams</v>
      </c>
      <c r="R157" t="str">
        <f>_xlfn.XLOOKUP(C157,$AB$2:$AB$5,$AC$2:$AC$5,PROPER(TRIM(C157)))</f>
        <v>Nigeria</v>
      </c>
      <c r="S157" t="str">
        <f t="shared" si="13"/>
        <v>Operations</v>
      </c>
      <c r="T157" t="str">
        <f t="shared" si="14"/>
        <v>Lagos</v>
      </c>
      <c r="U157" t="str">
        <f t="shared" si="15"/>
        <v>26</v>
      </c>
      <c r="V157">
        <f t="shared" si="16"/>
        <v>30000</v>
      </c>
      <c r="W157" t="str">
        <f t="shared" si="17"/>
        <v>Intern</v>
      </c>
    </row>
    <row r="158" spans="1:23" x14ac:dyDescent="0.3">
      <c r="A158">
        <v>10157</v>
      </c>
      <c r="B158" t="s">
        <v>124</v>
      </c>
      <c r="C158" t="s">
        <v>184</v>
      </c>
      <c r="D158" t="s">
        <v>187</v>
      </c>
      <c r="E158" t="s">
        <v>200</v>
      </c>
      <c r="F158">
        <v>38</v>
      </c>
      <c r="G158">
        <v>30000</v>
      </c>
      <c r="H158" t="s">
        <v>228</v>
      </c>
      <c r="P158">
        <v>10157</v>
      </c>
      <c r="Q158" t="str">
        <f t="shared" si="12"/>
        <v>Ama Okafor</v>
      </c>
      <c r="R158" t="str">
        <f>_xlfn.XLOOKUP(C158,$AB$2:$AB$5,$AC$2:$AC$5,PROPER(TRIM(C158)))</f>
        <v>Ghana</v>
      </c>
      <c r="S158" t="str">
        <f t="shared" si="13"/>
        <v>It</v>
      </c>
      <c r="T158" t="str">
        <f t="shared" si="14"/>
        <v>Lagos</v>
      </c>
      <c r="U158" t="str">
        <f t="shared" si="15"/>
        <v>38</v>
      </c>
      <c r="V158">
        <f t="shared" si="16"/>
        <v>30000</v>
      </c>
      <c r="W158" t="str">
        <f t="shared" si="17"/>
        <v>Part-Time</v>
      </c>
    </row>
    <row r="159" spans="1:23" x14ac:dyDescent="0.3">
      <c r="A159">
        <v>10158</v>
      </c>
      <c r="B159" t="s">
        <v>95</v>
      </c>
      <c r="C159" t="s">
        <v>184</v>
      </c>
      <c r="D159" t="s">
        <v>188</v>
      </c>
      <c r="E159" t="s">
        <v>207</v>
      </c>
      <c r="F159">
        <v>33</v>
      </c>
      <c r="G159">
        <v>40000</v>
      </c>
      <c r="H159" t="s">
        <v>231</v>
      </c>
      <c r="P159">
        <v>10158</v>
      </c>
      <c r="Q159" t="str">
        <f t="shared" si="12"/>
        <v>Mary Kamau</v>
      </c>
      <c r="R159" t="str">
        <f>_xlfn.XLOOKUP(C159,$AB$2:$AB$5,$AC$2:$AC$5,PROPER(TRIM(C159)))</f>
        <v>Ghana</v>
      </c>
      <c r="S159" t="str">
        <f t="shared" si="13"/>
        <v>Sales</v>
      </c>
      <c r="T159" t="str">
        <f t="shared" si="14"/>
        <v>Accra</v>
      </c>
      <c r="U159" t="str">
        <f t="shared" si="15"/>
        <v>33</v>
      </c>
      <c r="V159">
        <f t="shared" si="16"/>
        <v>40000</v>
      </c>
      <c r="W159" t="str">
        <f t="shared" si="17"/>
        <v>Contract</v>
      </c>
    </row>
    <row r="160" spans="1:23" x14ac:dyDescent="0.3">
      <c r="A160">
        <v>10159</v>
      </c>
      <c r="B160" t="s">
        <v>43</v>
      </c>
      <c r="C160" t="s">
        <v>176</v>
      </c>
      <c r="D160" t="s">
        <v>193</v>
      </c>
      <c r="E160" t="s">
        <v>207</v>
      </c>
      <c r="F160">
        <v>49</v>
      </c>
      <c r="G160">
        <v>55000</v>
      </c>
      <c r="H160" t="s">
        <v>226</v>
      </c>
      <c r="P160">
        <v>10159</v>
      </c>
      <c r="Q160" t="str">
        <f t="shared" si="12"/>
        <v>Fatima Owusu</v>
      </c>
      <c r="R160" t="str">
        <f>_xlfn.XLOOKUP(C160,$AB$2:$AB$5,$AC$2:$AC$5,PROPER(TRIM(C160)))</f>
        <v>Nigeria</v>
      </c>
      <c r="S160" t="str">
        <f t="shared" si="13"/>
        <v>Operations</v>
      </c>
      <c r="T160" t="str">
        <f t="shared" si="14"/>
        <v>Accra</v>
      </c>
      <c r="U160" t="str">
        <f t="shared" si="15"/>
        <v>49</v>
      </c>
      <c r="V160">
        <f t="shared" si="16"/>
        <v>55000</v>
      </c>
      <c r="W160" t="str">
        <f t="shared" si="17"/>
        <v>Full Time</v>
      </c>
    </row>
    <row r="161" spans="1:23" x14ac:dyDescent="0.3">
      <c r="A161">
        <v>10160</v>
      </c>
      <c r="B161" t="s">
        <v>64</v>
      </c>
      <c r="C161" t="s">
        <v>181</v>
      </c>
      <c r="D161" t="s">
        <v>189</v>
      </c>
      <c r="E161" t="s">
        <v>211</v>
      </c>
      <c r="F161">
        <v>58</v>
      </c>
      <c r="G161">
        <v>40000</v>
      </c>
      <c r="H161" t="s">
        <v>225</v>
      </c>
      <c r="P161">
        <v>10160</v>
      </c>
      <c r="Q161" t="str">
        <f t="shared" si="12"/>
        <v>Michael Mensah</v>
      </c>
      <c r="R161" t="str">
        <f>_xlfn.XLOOKUP(C161,$AB$2:$AB$5,$AC$2:$AC$5,PROPER(TRIM(C161)))</f>
        <v>Nigeria</v>
      </c>
      <c r="S161" t="str">
        <f t="shared" si="13"/>
        <v>Operations</v>
      </c>
      <c r="T161" t="str">
        <f t="shared" si="14"/>
        <v>Lagos</v>
      </c>
      <c r="U161" t="str">
        <f t="shared" si="15"/>
        <v>58</v>
      </c>
      <c r="V161">
        <f t="shared" si="16"/>
        <v>40000</v>
      </c>
      <c r="W161" t="str">
        <f t="shared" si="17"/>
        <v>Intern</v>
      </c>
    </row>
    <row r="162" spans="1:23" x14ac:dyDescent="0.3">
      <c r="A162">
        <v>10161</v>
      </c>
      <c r="B162" t="s">
        <v>68</v>
      </c>
      <c r="C162" t="s">
        <v>184</v>
      </c>
      <c r="D162" t="s">
        <v>188</v>
      </c>
      <c r="E162" t="s">
        <v>201</v>
      </c>
      <c r="F162">
        <v>52</v>
      </c>
      <c r="G162">
        <v>60000</v>
      </c>
      <c r="H162" t="s">
        <v>231</v>
      </c>
      <c r="P162">
        <v>10161</v>
      </c>
      <c r="Q162" t="str">
        <f t="shared" si="12"/>
        <v>Kwame Adams</v>
      </c>
      <c r="R162" t="str">
        <f>_xlfn.XLOOKUP(C162,$AB$2:$AB$5,$AC$2:$AC$5,PROPER(TRIM(C162)))</f>
        <v>Ghana</v>
      </c>
      <c r="S162" t="str">
        <f t="shared" si="13"/>
        <v>Sales</v>
      </c>
      <c r="T162" t="str">
        <f t="shared" si="14"/>
        <v>Johannesburg</v>
      </c>
      <c r="U162" t="str">
        <f t="shared" si="15"/>
        <v>52</v>
      </c>
      <c r="V162">
        <f t="shared" si="16"/>
        <v>60000</v>
      </c>
      <c r="W162" t="str">
        <f t="shared" si="17"/>
        <v>Contract</v>
      </c>
    </row>
    <row r="163" spans="1:23" x14ac:dyDescent="0.3">
      <c r="A163">
        <v>10162</v>
      </c>
      <c r="B163" t="s">
        <v>39</v>
      </c>
      <c r="C163" t="s">
        <v>173</v>
      </c>
      <c r="D163" t="s">
        <v>194</v>
      </c>
      <c r="E163" t="s">
        <v>207</v>
      </c>
      <c r="F163">
        <v>22</v>
      </c>
      <c r="G163">
        <v>65000</v>
      </c>
      <c r="H163" t="s">
        <v>231</v>
      </c>
      <c r="P163">
        <v>10162</v>
      </c>
      <c r="Q163" t="str">
        <f t="shared" si="12"/>
        <v>Fatima Okafor</v>
      </c>
      <c r="R163" t="str">
        <f>_xlfn.XLOOKUP(C163,$AB$2:$AB$5,$AC$2:$AC$5,PROPER(TRIM(C163)))</f>
        <v>South Africa</v>
      </c>
      <c r="S163" t="str">
        <f t="shared" si="13"/>
        <v>Finance</v>
      </c>
      <c r="T163" t="str">
        <f t="shared" si="14"/>
        <v>Accra</v>
      </c>
      <c r="U163" t="str">
        <f t="shared" si="15"/>
        <v>22</v>
      </c>
      <c r="V163">
        <f t="shared" si="16"/>
        <v>65000</v>
      </c>
      <c r="W163" t="str">
        <f t="shared" si="17"/>
        <v>Contract</v>
      </c>
    </row>
    <row r="164" spans="1:23" x14ac:dyDescent="0.3">
      <c r="A164">
        <v>10163</v>
      </c>
      <c r="B164" t="s">
        <v>125</v>
      </c>
      <c r="C164" t="s">
        <v>178</v>
      </c>
      <c r="D164" t="s">
        <v>192</v>
      </c>
      <c r="E164" t="s">
        <v>208</v>
      </c>
      <c r="F164">
        <v>52</v>
      </c>
      <c r="G164" t="s">
        <v>215</v>
      </c>
      <c r="H164" t="s">
        <v>224</v>
      </c>
      <c r="P164">
        <v>10163</v>
      </c>
      <c r="Q164" t="str">
        <f t="shared" si="12"/>
        <v>Samuel Williams</v>
      </c>
      <c r="R164" t="str">
        <f>_xlfn.XLOOKUP(C164,$AB$2:$AB$5,$AC$2:$AC$5,PROPER(TRIM(C164)))</f>
        <v>Kenya</v>
      </c>
      <c r="S164" t="str">
        <f t="shared" si="13"/>
        <v>Marketing</v>
      </c>
      <c r="T164" t="str">
        <f t="shared" si="14"/>
        <v>Kumasi</v>
      </c>
      <c r="U164" t="str">
        <f t="shared" si="15"/>
        <v>52</v>
      </c>
      <c r="V164">
        <f t="shared" si="16"/>
        <v>65000</v>
      </c>
      <c r="W164" t="str">
        <f t="shared" si="17"/>
        <v>Full-Time</v>
      </c>
    </row>
    <row r="165" spans="1:23" x14ac:dyDescent="0.3">
      <c r="B165" t="s">
        <v>126</v>
      </c>
      <c r="C165" t="s">
        <v>182</v>
      </c>
      <c r="D165" t="s">
        <v>194</v>
      </c>
      <c r="E165" t="s">
        <v>209</v>
      </c>
      <c r="F165">
        <v>35</v>
      </c>
      <c r="G165">
        <v>45000</v>
      </c>
      <c r="H165" t="s">
        <v>227</v>
      </c>
      <c r="Q165" t="str">
        <f t="shared" si="12"/>
        <v>David Kamau</v>
      </c>
      <c r="R165" t="str">
        <f>_xlfn.XLOOKUP(C165,$AB$2:$AB$5,$AC$2:$AC$5,PROPER(TRIM(C165)))</f>
        <v>South Africa</v>
      </c>
      <c r="S165" t="str">
        <f t="shared" si="13"/>
        <v>Finance</v>
      </c>
      <c r="T165" t="str">
        <f t="shared" si="14"/>
        <v>Johannesburg</v>
      </c>
      <c r="U165" t="str">
        <f t="shared" si="15"/>
        <v>35</v>
      </c>
      <c r="V165">
        <f t="shared" si="16"/>
        <v>45000</v>
      </c>
      <c r="W165" t="str">
        <f t="shared" si="17"/>
        <v>Part-Time</v>
      </c>
    </row>
    <row r="166" spans="1:23" x14ac:dyDescent="0.3">
      <c r="A166">
        <v>10165</v>
      </c>
      <c r="B166" t="s">
        <v>127</v>
      </c>
      <c r="C166" t="s">
        <v>175</v>
      </c>
      <c r="D166" t="s">
        <v>190</v>
      </c>
      <c r="E166" t="s">
        <v>203</v>
      </c>
      <c r="F166">
        <v>26</v>
      </c>
      <c r="G166">
        <v>80000</v>
      </c>
      <c r="H166" t="s">
        <v>231</v>
      </c>
      <c r="P166">
        <v>10165</v>
      </c>
      <c r="Q166" t="str">
        <f t="shared" si="12"/>
        <v>Alice Williams</v>
      </c>
      <c r="R166" t="str">
        <f>_xlfn.XLOOKUP(C166,$AB$2:$AB$5,$AC$2:$AC$5,PROPER(TRIM(C166)))</f>
        <v>Ghana</v>
      </c>
      <c r="S166" t="str">
        <f t="shared" si="13"/>
        <v>Hr</v>
      </c>
      <c r="T166" t="str">
        <f t="shared" si="14"/>
        <v>Accra</v>
      </c>
      <c r="U166" t="str">
        <f t="shared" si="15"/>
        <v>26</v>
      </c>
      <c r="V166">
        <f t="shared" si="16"/>
        <v>80000</v>
      </c>
      <c r="W166" t="str">
        <f t="shared" si="17"/>
        <v>Contract</v>
      </c>
    </row>
    <row r="167" spans="1:23" x14ac:dyDescent="0.3">
      <c r="A167">
        <v>10166</v>
      </c>
      <c r="B167" t="s">
        <v>128</v>
      </c>
      <c r="C167" t="s">
        <v>175</v>
      </c>
      <c r="E167" t="s">
        <v>208</v>
      </c>
      <c r="F167">
        <v>55</v>
      </c>
      <c r="G167">
        <v>35000</v>
      </c>
      <c r="H167" t="s">
        <v>224</v>
      </c>
      <c r="P167">
        <v>10166</v>
      </c>
      <c r="Q167" t="str">
        <f t="shared" si="12"/>
        <v>John Okafor</v>
      </c>
      <c r="R167" t="str">
        <f>_xlfn.XLOOKUP(C167,$AB$2:$AB$5,$AC$2:$AC$5,PROPER(TRIM(C167)))</f>
        <v>Ghana</v>
      </c>
      <c r="S167" t="str">
        <f t="shared" si="13"/>
        <v/>
      </c>
      <c r="T167" t="str">
        <f t="shared" si="14"/>
        <v>Kumasi</v>
      </c>
      <c r="U167" t="str">
        <f t="shared" si="15"/>
        <v>55</v>
      </c>
      <c r="V167">
        <f t="shared" si="16"/>
        <v>35000</v>
      </c>
      <c r="W167" t="str">
        <f t="shared" si="17"/>
        <v>Full-Time</v>
      </c>
    </row>
    <row r="168" spans="1:23" x14ac:dyDescent="0.3">
      <c r="A168">
        <v>10167</v>
      </c>
      <c r="B168" t="s">
        <v>104</v>
      </c>
      <c r="C168" t="s">
        <v>180</v>
      </c>
      <c r="D168" t="s">
        <v>187</v>
      </c>
      <c r="E168" t="s">
        <v>204</v>
      </c>
      <c r="F168">
        <v>21</v>
      </c>
      <c r="G168">
        <v>40000</v>
      </c>
      <c r="H168" t="s">
        <v>231</v>
      </c>
      <c r="P168">
        <v>10167</v>
      </c>
      <c r="Q168" t="str">
        <f t="shared" si="12"/>
        <v>John Brown</v>
      </c>
      <c r="R168" t="str">
        <f>_xlfn.XLOOKUP(C168,$AB$2:$AB$5,$AC$2:$AC$5,PROPER(TRIM(C168)))</f>
        <v>Ghana</v>
      </c>
      <c r="S168" t="str">
        <f t="shared" si="13"/>
        <v>It</v>
      </c>
      <c r="T168" t="str">
        <f t="shared" si="14"/>
        <v>Nairobi</v>
      </c>
      <c r="U168" t="str">
        <f t="shared" si="15"/>
        <v>21</v>
      </c>
      <c r="V168">
        <f t="shared" si="16"/>
        <v>40000</v>
      </c>
      <c r="W168" t="str">
        <f t="shared" si="17"/>
        <v>Contract</v>
      </c>
    </row>
    <row r="169" spans="1:23" x14ac:dyDescent="0.3">
      <c r="A169">
        <v>10168</v>
      </c>
      <c r="B169" t="s">
        <v>129</v>
      </c>
      <c r="C169" t="s">
        <v>175</v>
      </c>
      <c r="D169" t="s">
        <v>192</v>
      </c>
      <c r="E169" t="s">
        <v>205</v>
      </c>
      <c r="F169">
        <v>49</v>
      </c>
      <c r="G169">
        <v>70000</v>
      </c>
      <c r="H169" t="s">
        <v>224</v>
      </c>
      <c r="P169">
        <v>10168</v>
      </c>
      <c r="Q169" t="str">
        <f t="shared" si="12"/>
        <v>Brian Johnson</v>
      </c>
      <c r="R169" t="str">
        <f>_xlfn.XLOOKUP(C169,$AB$2:$AB$5,$AC$2:$AC$5,PROPER(TRIM(C169)))</f>
        <v>Ghana</v>
      </c>
      <c r="S169" t="str">
        <f t="shared" si="13"/>
        <v>Marketing</v>
      </c>
      <c r="T169" t="str">
        <f t="shared" si="14"/>
        <v>Tema</v>
      </c>
      <c r="U169" t="str">
        <f t="shared" si="15"/>
        <v>49</v>
      </c>
      <c r="V169">
        <f t="shared" si="16"/>
        <v>70000</v>
      </c>
      <c r="W169" t="str">
        <f t="shared" si="17"/>
        <v>Full-Time</v>
      </c>
    </row>
    <row r="170" spans="1:23" x14ac:dyDescent="0.3">
      <c r="B170" t="s">
        <v>130</v>
      </c>
      <c r="C170" t="s">
        <v>180</v>
      </c>
      <c r="D170" t="s">
        <v>197</v>
      </c>
      <c r="E170" t="s">
        <v>205</v>
      </c>
      <c r="F170">
        <v>43</v>
      </c>
      <c r="G170">
        <v>30000</v>
      </c>
      <c r="H170" t="s">
        <v>224</v>
      </c>
      <c r="Q170" t="str">
        <f t="shared" si="12"/>
        <v>Brian Smith</v>
      </c>
      <c r="R170" t="str">
        <f>_xlfn.XLOOKUP(C170,$AB$2:$AB$5,$AC$2:$AC$5,PROPER(TRIM(C170)))</f>
        <v>Ghana</v>
      </c>
      <c r="S170" t="str">
        <f t="shared" si="13"/>
        <v>It</v>
      </c>
      <c r="T170" t="str">
        <f t="shared" si="14"/>
        <v>Tema</v>
      </c>
      <c r="U170" t="str">
        <f t="shared" si="15"/>
        <v>43</v>
      </c>
      <c r="V170">
        <f t="shared" si="16"/>
        <v>30000</v>
      </c>
      <c r="W170" t="str">
        <f t="shared" si="17"/>
        <v>Full-Time</v>
      </c>
    </row>
    <row r="171" spans="1:23" x14ac:dyDescent="0.3">
      <c r="A171">
        <v>10170</v>
      </c>
      <c r="B171" t="s">
        <v>25</v>
      </c>
      <c r="C171" t="s">
        <v>185</v>
      </c>
      <c r="D171" t="s">
        <v>188</v>
      </c>
      <c r="E171" t="s">
        <v>208</v>
      </c>
      <c r="F171">
        <v>36</v>
      </c>
      <c r="G171">
        <v>70000</v>
      </c>
      <c r="H171" t="s">
        <v>225</v>
      </c>
      <c r="P171">
        <v>10170</v>
      </c>
      <c r="Q171" t="str">
        <f t="shared" si="12"/>
        <v>Peter Okafor</v>
      </c>
      <c r="R171" t="str">
        <f>_xlfn.XLOOKUP(C171,$AB$2:$AB$5,$AC$2:$AC$5,PROPER(TRIM(C171)))</f>
        <v>Ghana</v>
      </c>
      <c r="S171" t="str">
        <f t="shared" si="13"/>
        <v>Sales</v>
      </c>
      <c r="T171" t="str">
        <f t="shared" si="14"/>
        <v>Kumasi</v>
      </c>
      <c r="U171" t="str">
        <f t="shared" si="15"/>
        <v>36</v>
      </c>
      <c r="V171">
        <f t="shared" si="16"/>
        <v>70000</v>
      </c>
      <c r="W171" t="str">
        <f t="shared" si="17"/>
        <v>Intern</v>
      </c>
    </row>
    <row r="172" spans="1:23" x14ac:dyDescent="0.3">
      <c r="A172">
        <v>10171</v>
      </c>
      <c r="B172" t="s">
        <v>131</v>
      </c>
      <c r="C172" t="s">
        <v>183</v>
      </c>
      <c r="D172" t="s">
        <v>191</v>
      </c>
      <c r="E172" t="s">
        <v>205</v>
      </c>
      <c r="F172">
        <v>41</v>
      </c>
      <c r="G172">
        <v>90000</v>
      </c>
      <c r="H172" t="s">
        <v>229</v>
      </c>
      <c r="P172">
        <v>10171</v>
      </c>
      <c r="Q172" t="str">
        <f t="shared" si="12"/>
        <v>Sarah Miller</v>
      </c>
      <c r="R172" t="str">
        <f>_xlfn.XLOOKUP(C172,$AB$2:$AB$5,$AC$2:$AC$5,PROPER(TRIM(C172)))</f>
        <v>Nigeria</v>
      </c>
      <c r="S172" t="str">
        <f t="shared" si="13"/>
        <v>Finance</v>
      </c>
      <c r="T172" t="str">
        <f t="shared" si="14"/>
        <v>Tema</v>
      </c>
      <c r="U172" t="str">
        <f t="shared" si="15"/>
        <v>41</v>
      </c>
      <c r="V172">
        <f t="shared" si="16"/>
        <v>90000</v>
      </c>
      <c r="W172" t="str">
        <f t="shared" si="17"/>
        <v>Contract</v>
      </c>
    </row>
    <row r="173" spans="1:23" x14ac:dyDescent="0.3">
      <c r="A173">
        <v>10172</v>
      </c>
      <c r="B173" t="s">
        <v>82</v>
      </c>
      <c r="C173" t="s">
        <v>179</v>
      </c>
      <c r="D173" t="s">
        <v>189</v>
      </c>
      <c r="E173" t="s">
        <v>203</v>
      </c>
      <c r="F173">
        <v>42</v>
      </c>
      <c r="G173">
        <v>50000</v>
      </c>
      <c r="H173" t="s">
        <v>226</v>
      </c>
      <c r="P173">
        <v>10172</v>
      </c>
      <c r="Q173" t="str">
        <f t="shared" si="12"/>
        <v>Michael Adams</v>
      </c>
      <c r="R173" t="str">
        <f>_xlfn.XLOOKUP(C173,$AB$2:$AB$5,$AC$2:$AC$5,PROPER(TRIM(C173)))</f>
        <v>Kenya</v>
      </c>
      <c r="S173" t="str">
        <f t="shared" si="13"/>
        <v>Operations</v>
      </c>
      <c r="T173" t="str">
        <f t="shared" si="14"/>
        <v>Accra</v>
      </c>
      <c r="U173" t="str">
        <f t="shared" si="15"/>
        <v>42</v>
      </c>
      <c r="V173">
        <f t="shared" si="16"/>
        <v>50000</v>
      </c>
      <c r="W173" t="str">
        <f t="shared" si="17"/>
        <v>Full Time</v>
      </c>
    </row>
    <row r="174" spans="1:23" x14ac:dyDescent="0.3">
      <c r="A174">
        <v>10173</v>
      </c>
      <c r="B174" t="s">
        <v>84</v>
      </c>
      <c r="C174" t="s">
        <v>175</v>
      </c>
      <c r="D174" t="s">
        <v>197</v>
      </c>
      <c r="E174" t="s">
        <v>202</v>
      </c>
      <c r="F174">
        <v>60</v>
      </c>
      <c r="G174">
        <v>55000</v>
      </c>
      <c r="H174" t="s">
        <v>224</v>
      </c>
      <c r="P174">
        <v>10173</v>
      </c>
      <c r="Q174" t="str">
        <f t="shared" si="12"/>
        <v>Daniel Owusu</v>
      </c>
      <c r="R174" t="str">
        <f>_xlfn.XLOOKUP(C174,$AB$2:$AB$5,$AC$2:$AC$5,PROPER(TRIM(C174)))</f>
        <v>Ghana</v>
      </c>
      <c r="S174" t="str">
        <f t="shared" si="13"/>
        <v>It</v>
      </c>
      <c r="T174" t="str">
        <f t="shared" si="14"/>
        <v>Kumasi</v>
      </c>
      <c r="U174" t="str">
        <f t="shared" si="15"/>
        <v>60</v>
      </c>
      <c r="V174">
        <f t="shared" si="16"/>
        <v>55000</v>
      </c>
      <c r="W174" t="str">
        <f t="shared" si="17"/>
        <v>Full-Time</v>
      </c>
    </row>
    <row r="175" spans="1:23" x14ac:dyDescent="0.3">
      <c r="A175">
        <v>10174</v>
      </c>
      <c r="B175" t="s">
        <v>132</v>
      </c>
      <c r="C175" t="s">
        <v>178</v>
      </c>
      <c r="D175" t="s">
        <v>196</v>
      </c>
      <c r="E175" t="s">
        <v>204</v>
      </c>
      <c r="F175">
        <v>31</v>
      </c>
      <c r="G175">
        <v>60000</v>
      </c>
      <c r="H175" t="s">
        <v>228</v>
      </c>
      <c r="P175">
        <v>10174</v>
      </c>
      <c r="Q175" t="str">
        <f t="shared" si="12"/>
        <v>Joseph Brown</v>
      </c>
      <c r="R175" t="str">
        <f>_xlfn.XLOOKUP(C175,$AB$2:$AB$5,$AC$2:$AC$5,PROPER(TRIM(C175)))</f>
        <v>Kenya</v>
      </c>
      <c r="S175" t="str">
        <f t="shared" si="13"/>
        <v>Hr</v>
      </c>
      <c r="T175" t="str">
        <f t="shared" si="14"/>
        <v>Nairobi</v>
      </c>
      <c r="U175" t="str">
        <f t="shared" si="15"/>
        <v>31</v>
      </c>
      <c r="V175">
        <f t="shared" si="16"/>
        <v>60000</v>
      </c>
      <c r="W175" t="str">
        <f t="shared" si="17"/>
        <v>Part-Time</v>
      </c>
    </row>
    <row r="176" spans="1:23" x14ac:dyDescent="0.3">
      <c r="A176">
        <v>10175</v>
      </c>
      <c r="B176" t="s">
        <v>56</v>
      </c>
      <c r="C176" t="s">
        <v>175</v>
      </c>
      <c r="D176" t="s">
        <v>187</v>
      </c>
      <c r="E176" t="s">
        <v>210</v>
      </c>
      <c r="F176">
        <v>50</v>
      </c>
      <c r="G176">
        <v>55000</v>
      </c>
      <c r="H176" t="s">
        <v>226</v>
      </c>
      <c r="P176">
        <v>10175</v>
      </c>
      <c r="Q176" t="str">
        <f t="shared" si="12"/>
        <v>Kwame Williams</v>
      </c>
      <c r="R176" t="str">
        <f>_xlfn.XLOOKUP(C176,$AB$2:$AB$5,$AC$2:$AC$5,PROPER(TRIM(C176)))</f>
        <v>Ghana</v>
      </c>
      <c r="S176" t="str">
        <f t="shared" si="13"/>
        <v>It</v>
      </c>
      <c r="T176" t="str">
        <f t="shared" si="14"/>
        <v>Nairobi</v>
      </c>
      <c r="U176" t="str">
        <f t="shared" si="15"/>
        <v>50</v>
      </c>
      <c r="V176">
        <f t="shared" si="16"/>
        <v>55000</v>
      </c>
      <c r="W176" t="str">
        <f t="shared" si="17"/>
        <v>Full Time</v>
      </c>
    </row>
    <row r="177" spans="1:23" x14ac:dyDescent="0.3">
      <c r="A177">
        <v>10176</v>
      </c>
      <c r="B177" t="s">
        <v>133</v>
      </c>
      <c r="C177" t="s">
        <v>177</v>
      </c>
      <c r="D177" t="s">
        <v>189</v>
      </c>
      <c r="E177" t="s">
        <v>210</v>
      </c>
      <c r="F177">
        <v>26</v>
      </c>
      <c r="G177">
        <v>80000</v>
      </c>
      <c r="H177" t="s">
        <v>228</v>
      </c>
      <c r="P177">
        <v>10176</v>
      </c>
      <c r="Q177" t="str">
        <f t="shared" si="12"/>
        <v>Samuel Owusu</v>
      </c>
      <c r="R177" t="str">
        <f>_xlfn.XLOOKUP(C177,$AB$2:$AB$5,$AC$2:$AC$5,PROPER(TRIM(C177)))</f>
        <v>South Africa</v>
      </c>
      <c r="S177" t="str">
        <f t="shared" si="13"/>
        <v>Operations</v>
      </c>
      <c r="T177" t="str">
        <f t="shared" si="14"/>
        <v>Nairobi</v>
      </c>
      <c r="U177" t="str">
        <f t="shared" si="15"/>
        <v>26</v>
      </c>
      <c r="V177">
        <f t="shared" si="16"/>
        <v>80000</v>
      </c>
      <c r="W177" t="str">
        <f t="shared" si="17"/>
        <v>Part-Time</v>
      </c>
    </row>
    <row r="178" spans="1:23" x14ac:dyDescent="0.3">
      <c r="A178">
        <v>10177</v>
      </c>
      <c r="B178" t="s">
        <v>134</v>
      </c>
      <c r="C178" t="s">
        <v>175</v>
      </c>
      <c r="D178" t="s">
        <v>193</v>
      </c>
      <c r="E178" t="s">
        <v>204</v>
      </c>
      <c r="F178">
        <v>21</v>
      </c>
      <c r="G178">
        <v>55000</v>
      </c>
      <c r="H178" t="s">
        <v>226</v>
      </c>
      <c r="P178">
        <v>10177</v>
      </c>
      <c r="Q178" t="str">
        <f t="shared" si="12"/>
        <v>Joseph Adams</v>
      </c>
      <c r="R178" t="str">
        <f>_xlfn.XLOOKUP(C178,$AB$2:$AB$5,$AC$2:$AC$5,PROPER(TRIM(C178)))</f>
        <v>Ghana</v>
      </c>
      <c r="S178" t="str">
        <f t="shared" si="13"/>
        <v>Operations</v>
      </c>
      <c r="T178" t="str">
        <f t="shared" si="14"/>
        <v>Nairobi</v>
      </c>
      <c r="U178" t="str">
        <f t="shared" si="15"/>
        <v>21</v>
      </c>
      <c r="V178">
        <f t="shared" si="16"/>
        <v>55000</v>
      </c>
      <c r="W178" t="str">
        <f t="shared" si="17"/>
        <v>Full Time</v>
      </c>
    </row>
    <row r="179" spans="1:23" x14ac:dyDescent="0.3">
      <c r="A179">
        <v>10178</v>
      </c>
      <c r="B179" t="s">
        <v>135</v>
      </c>
      <c r="C179" t="s">
        <v>175</v>
      </c>
      <c r="D179" t="s">
        <v>199</v>
      </c>
      <c r="E179" t="s">
        <v>208</v>
      </c>
      <c r="F179">
        <v>45</v>
      </c>
      <c r="G179">
        <v>50000</v>
      </c>
      <c r="H179" t="s">
        <v>226</v>
      </c>
      <c r="P179">
        <v>10178</v>
      </c>
      <c r="Q179" t="str">
        <f t="shared" si="12"/>
        <v>John Smith</v>
      </c>
      <c r="R179" t="str">
        <f>_xlfn.XLOOKUP(C179,$AB$2:$AB$5,$AC$2:$AC$5,PROPER(TRIM(C179)))</f>
        <v>Ghana</v>
      </c>
      <c r="S179" t="str">
        <f t="shared" si="13"/>
        <v>Marketing</v>
      </c>
      <c r="T179" t="str">
        <f t="shared" si="14"/>
        <v>Kumasi</v>
      </c>
      <c r="U179" t="str">
        <f t="shared" si="15"/>
        <v>45</v>
      </c>
      <c r="V179">
        <f t="shared" si="16"/>
        <v>50000</v>
      </c>
      <c r="W179" t="str">
        <f t="shared" si="17"/>
        <v>Full Time</v>
      </c>
    </row>
    <row r="180" spans="1:23" x14ac:dyDescent="0.3">
      <c r="A180">
        <v>10179</v>
      </c>
      <c r="B180" t="s">
        <v>42</v>
      </c>
      <c r="C180" t="s">
        <v>185</v>
      </c>
      <c r="D180" t="s">
        <v>187</v>
      </c>
      <c r="E180" t="s">
        <v>211</v>
      </c>
      <c r="F180">
        <v>59</v>
      </c>
      <c r="G180">
        <v>40000</v>
      </c>
      <c r="H180" t="s">
        <v>229</v>
      </c>
      <c r="P180">
        <v>10179</v>
      </c>
      <c r="Q180" t="str">
        <f t="shared" si="12"/>
        <v>Samuel Johnson</v>
      </c>
      <c r="R180" t="str">
        <f>_xlfn.XLOOKUP(C180,$AB$2:$AB$5,$AC$2:$AC$5,PROPER(TRIM(C180)))</f>
        <v>Ghana</v>
      </c>
      <c r="S180" t="str">
        <f t="shared" si="13"/>
        <v>It</v>
      </c>
      <c r="T180" t="str">
        <f t="shared" si="14"/>
        <v>Lagos</v>
      </c>
      <c r="U180" t="str">
        <f t="shared" si="15"/>
        <v>59</v>
      </c>
      <c r="V180">
        <f t="shared" si="16"/>
        <v>40000</v>
      </c>
      <c r="W180" t="str">
        <f t="shared" si="17"/>
        <v>Contract</v>
      </c>
    </row>
    <row r="181" spans="1:23" x14ac:dyDescent="0.3">
      <c r="A181">
        <v>10180</v>
      </c>
      <c r="B181" t="s">
        <v>136</v>
      </c>
      <c r="C181" t="s">
        <v>181</v>
      </c>
      <c r="D181" t="s">
        <v>196</v>
      </c>
      <c r="E181" t="s">
        <v>205</v>
      </c>
      <c r="F181">
        <v>24</v>
      </c>
      <c r="G181">
        <v>65000</v>
      </c>
      <c r="H181" t="s">
        <v>230</v>
      </c>
      <c r="P181">
        <v>10180</v>
      </c>
      <c r="Q181" t="str">
        <f t="shared" si="12"/>
        <v>Sarah Okafor</v>
      </c>
      <c r="R181" t="str">
        <f>_xlfn.XLOOKUP(C181,$AB$2:$AB$5,$AC$2:$AC$5,PROPER(TRIM(C181)))</f>
        <v>Nigeria</v>
      </c>
      <c r="S181" t="str">
        <f t="shared" si="13"/>
        <v>Hr</v>
      </c>
      <c r="T181" t="str">
        <f t="shared" si="14"/>
        <v>Tema</v>
      </c>
      <c r="U181" t="str">
        <f t="shared" si="15"/>
        <v>24</v>
      </c>
      <c r="V181">
        <f t="shared" si="16"/>
        <v>65000</v>
      </c>
      <c r="W181" t="str">
        <f t="shared" si="17"/>
        <v>Full-Time</v>
      </c>
    </row>
    <row r="182" spans="1:23" x14ac:dyDescent="0.3">
      <c r="A182">
        <v>10181</v>
      </c>
      <c r="B182" t="s">
        <v>137</v>
      </c>
      <c r="C182" t="s">
        <v>184</v>
      </c>
      <c r="D182" t="s">
        <v>195</v>
      </c>
      <c r="E182" t="s">
        <v>202</v>
      </c>
      <c r="F182">
        <v>36</v>
      </c>
      <c r="G182">
        <v>90000</v>
      </c>
      <c r="H182" t="s">
        <v>228</v>
      </c>
      <c r="P182">
        <v>10181</v>
      </c>
      <c r="Q182" t="str">
        <f t="shared" si="12"/>
        <v>Michael Johnson</v>
      </c>
      <c r="R182" t="str">
        <f>_xlfn.XLOOKUP(C182,$AB$2:$AB$5,$AC$2:$AC$5,PROPER(TRIM(C182)))</f>
        <v>Ghana</v>
      </c>
      <c r="S182" t="str">
        <f t="shared" si="13"/>
        <v>Sales</v>
      </c>
      <c r="T182" t="str">
        <f t="shared" si="14"/>
        <v>Kumasi</v>
      </c>
      <c r="U182" t="str">
        <f t="shared" si="15"/>
        <v>36</v>
      </c>
      <c r="V182">
        <f t="shared" si="16"/>
        <v>90000</v>
      </c>
      <c r="W182" t="str">
        <f t="shared" si="17"/>
        <v>Part-Time</v>
      </c>
    </row>
    <row r="183" spans="1:23" x14ac:dyDescent="0.3">
      <c r="A183">
        <v>10182</v>
      </c>
      <c r="B183" t="s">
        <v>138</v>
      </c>
      <c r="C183" t="s">
        <v>178</v>
      </c>
      <c r="D183" t="s">
        <v>197</v>
      </c>
      <c r="E183" t="s">
        <v>203</v>
      </c>
      <c r="F183">
        <v>28</v>
      </c>
      <c r="G183">
        <v>70000</v>
      </c>
      <c r="H183" t="s">
        <v>225</v>
      </c>
      <c r="P183">
        <v>10182</v>
      </c>
      <c r="Q183" t="str">
        <f t="shared" si="12"/>
        <v>Linda Owusu</v>
      </c>
      <c r="R183" t="str">
        <f>_xlfn.XLOOKUP(C183,$AB$2:$AB$5,$AC$2:$AC$5,PROPER(TRIM(C183)))</f>
        <v>Kenya</v>
      </c>
      <c r="S183" t="str">
        <f t="shared" si="13"/>
        <v>It</v>
      </c>
      <c r="T183" t="str">
        <f t="shared" si="14"/>
        <v>Accra</v>
      </c>
      <c r="U183" t="str">
        <f t="shared" si="15"/>
        <v>28</v>
      </c>
      <c r="V183">
        <f t="shared" si="16"/>
        <v>70000</v>
      </c>
      <c r="W183" t="str">
        <f t="shared" si="17"/>
        <v>Intern</v>
      </c>
    </row>
    <row r="184" spans="1:23" x14ac:dyDescent="0.3">
      <c r="A184">
        <v>10183</v>
      </c>
      <c r="B184" t="s">
        <v>45</v>
      </c>
      <c r="C184" t="s">
        <v>178</v>
      </c>
      <c r="D184" t="s">
        <v>189</v>
      </c>
      <c r="E184" t="s">
        <v>209</v>
      </c>
      <c r="F184">
        <v>59</v>
      </c>
      <c r="G184">
        <v>80000</v>
      </c>
      <c r="H184" t="s">
        <v>230</v>
      </c>
      <c r="P184">
        <v>10183</v>
      </c>
      <c r="Q184" t="str">
        <f t="shared" si="12"/>
        <v>Joseph Mensah</v>
      </c>
      <c r="R184" t="str">
        <f>_xlfn.XLOOKUP(C184,$AB$2:$AB$5,$AC$2:$AC$5,PROPER(TRIM(C184)))</f>
        <v>Kenya</v>
      </c>
      <c r="S184" t="str">
        <f t="shared" si="13"/>
        <v>Operations</v>
      </c>
      <c r="T184" t="str">
        <f t="shared" si="14"/>
        <v>Johannesburg</v>
      </c>
      <c r="U184" t="str">
        <f t="shared" si="15"/>
        <v>59</v>
      </c>
      <c r="V184">
        <f t="shared" si="16"/>
        <v>80000</v>
      </c>
      <c r="W184" t="str">
        <f t="shared" si="17"/>
        <v>Full-Time</v>
      </c>
    </row>
    <row r="185" spans="1:23" x14ac:dyDescent="0.3">
      <c r="A185">
        <v>10184</v>
      </c>
      <c r="B185" t="s">
        <v>139</v>
      </c>
      <c r="C185" t="s">
        <v>184</v>
      </c>
      <c r="D185" t="s">
        <v>188</v>
      </c>
      <c r="E185" t="s">
        <v>206</v>
      </c>
      <c r="F185">
        <v>49</v>
      </c>
      <c r="G185">
        <v>55000</v>
      </c>
      <c r="H185" t="s">
        <v>224</v>
      </c>
      <c r="P185">
        <v>10184</v>
      </c>
      <c r="Q185" t="str">
        <f t="shared" si="12"/>
        <v>Grace Smith</v>
      </c>
      <c r="R185" t="str">
        <f>_xlfn.XLOOKUP(C185,$AB$2:$AB$5,$AC$2:$AC$5,PROPER(TRIM(C185)))</f>
        <v>Ghana</v>
      </c>
      <c r="S185" t="str">
        <f t="shared" si="13"/>
        <v>Sales</v>
      </c>
      <c r="T185" t="str">
        <f t="shared" si="14"/>
        <v>Tema</v>
      </c>
      <c r="U185" t="str">
        <f t="shared" si="15"/>
        <v>49</v>
      </c>
      <c r="V185">
        <f t="shared" si="16"/>
        <v>55000</v>
      </c>
      <c r="W185" t="str">
        <f t="shared" si="17"/>
        <v>Full-Time</v>
      </c>
    </row>
    <row r="186" spans="1:23" x14ac:dyDescent="0.3">
      <c r="A186">
        <v>10185</v>
      </c>
      <c r="B186" t="s">
        <v>130</v>
      </c>
      <c r="C186" t="s">
        <v>175</v>
      </c>
      <c r="D186" t="s">
        <v>193</v>
      </c>
      <c r="E186" t="s">
        <v>209</v>
      </c>
      <c r="F186">
        <v>36</v>
      </c>
      <c r="G186">
        <v>80000</v>
      </c>
      <c r="H186" t="s">
        <v>230</v>
      </c>
      <c r="P186">
        <v>10185</v>
      </c>
      <c r="Q186" t="str">
        <f t="shared" si="12"/>
        <v>Brian Smith</v>
      </c>
      <c r="R186" t="str">
        <f>_xlfn.XLOOKUP(C186,$AB$2:$AB$5,$AC$2:$AC$5,PROPER(TRIM(C186)))</f>
        <v>Ghana</v>
      </c>
      <c r="S186" t="str">
        <f t="shared" si="13"/>
        <v>Operations</v>
      </c>
      <c r="T186" t="str">
        <f t="shared" si="14"/>
        <v>Johannesburg</v>
      </c>
      <c r="U186" t="str">
        <f t="shared" si="15"/>
        <v>36</v>
      </c>
      <c r="V186">
        <f t="shared" si="16"/>
        <v>80000</v>
      </c>
      <c r="W186" t="str">
        <f t="shared" si="17"/>
        <v>Full-Time</v>
      </c>
    </row>
    <row r="187" spans="1:23" x14ac:dyDescent="0.3">
      <c r="A187">
        <v>10186</v>
      </c>
      <c r="B187" t="s">
        <v>140</v>
      </c>
      <c r="C187" t="s">
        <v>184</v>
      </c>
      <c r="D187" t="s">
        <v>194</v>
      </c>
      <c r="E187" t="s">
        <v>206</v>
      </c>
      <c r="F187">
        <v>36</v>
      </c>
      <c r="G187">
        <v>60000</v>
      </c>
      <c r="H187" t="s">
        <v>228</v>
      </c>
      <c r="P187">
        <v>10186</v>
      </c>
      <c r="Q187" t="str">
        <f t="shared" si="12"/>
        <v>Joseph Kamau</v>
      </c>
      <c r="R187" t="str">
        <f>_xlfn.XLOOKUP(C187,$AB$2:$AB$5,$AC$2:$AC$5,PROPER(TRIM(C187)))</f>
        <v>Ghana</v>
      </c>
      <c r="S187" t="str">
        <f t="shared" si="13"/>
        <v>Finance</v>
      </c>
      <c r="T187" t="str">
        <f t="shared" si="14"/>
        <v>Tema</v>
      </c>
      <c r="U187" t="str">
        <f t="shared" si="15"/>
        <v>36</v>
      </c>
      <c r="V187">
        <f t="shared" si="16"/>
        <v>60000</v>
      </c>
      <c r="W187" t="str">
        <f t="shared" si="17"/>
        <v>Part-Time</v>
      </c>
    </row>
    <row r="188" spans="1:23" x14ac:dyDescent="0.3">
      <c r="A188">
        <v>10187</v>
      </c>
      <c r="B188" t="s">
        <v>141</v>
      </c>
      <c r="C188" t="s">
        <v>181</v>
      </c>
      <c r="D188" t="s">
        <v>191</v>
      </c>
      <c r="E188" t="s">
        <v>203</v>
      </c>
      <c r="F188">
        <v>44</v>
      </c>
      <c r="G188">
        <v>90000</v>
      </c>
      <c r="H188" t="s">
        <v>224</v>
      </c>
      <c r="P188">
        <v>10187</v>
      </c>
      <c r="Q188" t="str">
        <f t="shared" si="12"/>
        <v>Mary Williams</v>
      </c>
      <c r="R188" t="str">
        <f>_xlfn.XLOOKUP(C188,$AB$2:$AB$5,$AC$2:$AC$5,PROPER(TRIM(C188)))</f>
        <v>Nigeria</v>
      </c>
      <c r="S188" t="str">
        <f t="shared" si="13"/>
        <v>Finance</v>
      </c>
      <c r="T188" t="str">
        <f t="shared" si="14"/>
        <v>Accra</v>
      </c>
      <c r="U188" t="str">
        <f t="shared" si="15"/>
        <v>44</v>
      </c>
      <c r="V188">
        <f t="shared" si="16"/>
        <v>90000</v>
      </c>
      <c r="W188" t="str">
        <f t="shared" si="17"/>
        <v>Full-Time</v>
      </c>
    </row>
    <row r="189" spans="1:23" x14ac:dyDescent="0.3">
      <c r="A189">
        <v>10188</v>
      </c>
      <c r="B189" t="s">
        <v>96</v>
      </c>
      <c r="C189" t="s">
        <v>179</v>
      </c>
      <c r="D189" t="s">
        <v>190</v>
      </c>
      <c r="E189" t="s">
        <v>207</v>
      </c>
      <c r="F189">
        <v>42</v>
      </c>
      <c r="G189">
        <v>80000</v>
      </c>
      <c r="H189" t="s">
        <v>228</v>
      </c>
      <c r="P189">
        <v>10188</v>
      </c>
      <c r="Q189" t="str">
        <f t="shared" si="12"/>
        <v>Emma Adams</v>
      </c>
      <c r="R189" t="str">
        <f>_xlfn.XLOOKUP(C189,$AB$2:$AB$5,$AC$2:$AC$5,PROPER(TRIM(C189)))</f>
        <v>Kenya</v>
      </c>
      <c r="S189" t="str">
        <f t="shared" si="13"/>
        <v>Hr</v>
      </c>
      <c r="T189" t="str">
        <f t="shared" si="14"/>
        <v>Accra</v>
      </c>
      <c r="U189" t="str">
        <f t="shared" si="15"/>
        <v>42</v>
      </c>
      <c r="V189">
        <f t="shared" si="16"/>
        <v>80000</v>
      </c>
      <c r="W189" t="str">
        <f t="shared" si="17"/>
        <v>Part-Time</v>
      </c>
    </row>
    <row r="190" spans="1:23" x14ac:dyDescent="0.3">
      <c r="A190">
        <v>10189</v>
      </c>
      <c r="B190" t="s">
        <v>13</v>
      </c>
      <c r="C190" t="s">
        <v>183</v>
      </c>
      <c r="D190" t="s">
        <v>191</v>
      </c>
      <c r="E190" t="s">
        <v>208</v>
      </c>
      <c r="F190">
        <v>27</v>
      </c>
      <c r="G190" t="s">
        <v>220</v>
      </c>
      <c r="H190" t="s">
        <v>226</v>
      </c>
      <c r="P190">
        <v>10189</v>
      </c>
      <c r="Q190" t="str">
        <f t="shared" si="12"/>
        <v>Grace Brown</v>
      </c>
      <c r="R190" t="str">
        <f>_xlfn.XLOOKUP(C190,$AB$2:$AB$5,$AC$2:$AC$5,PROPER(TRIM(C190)))</f>
        <v>Nigeria</v>
      </c>
      <c r="S190" t="str">
        <f t="shared" si="13"/>
        <v>Finance</v>
      </c>
      <c r="T190" t="str">
        <f t="shared" si="14"/>
        <v>Kumasi</v>
      </c>
      <c r="U190" t="str">
        <f t="shared" si="15"/>
        <v>27</v>
      </c>
      <c r="V190">
        <f t="shared" si="16"/>
        <v>35000</v>
      </c>
      <c r="W190" t="str">
        <f t="shared" si="17"/>
        <v>Full Time</v>
      </c>
    </row>
    <row r="191" spans="1:23" x14ac:dyDescent="0.3">
      <c r="A191">
        <v>10190</v>
      </c>
      <c r="B191" t="s">
        <v>142</v>
      </c>
      <c r="C191" t="s">
        <v>183</v>
      </c>
      <c r="D191" t="s">
        <v>195</v>
      </c>
      <c r="E191" t="s">
        <v>203</v>
      </c>
      <c r="F191">
        <v>58</v>
      </c>
      <c r="G191">
        <v>30000</v>
      </c>
      <c r="H191" t="s">
        <v>229</v>
      </c>
      <c r="P191">
        <v>10190</v>
      </c>
      <c r="Q191" t="str">
        <f t="shared" si="12"/>
        <v>Fatima Johnson</v>
      </c>
      <c r="R191" t="str">
        <f>_xlfn.XLOOKUP(C191,$AB$2:$AB$5,$AC$2:$AC$5,PROPER(TRIM(C191)))</f>
        <v>Nigeria</v>
      </c>
      <c r="S191" t="str">
        <f t="shared" si="13"/>
        <v>Sales</v>
      </c>
      <c r="T191" t="str">
        <f t="shared" si="14"/>
        <v>Accra</v>
      </c>
      <c r="U191" t="str">
        <f t="shared" si="15"/>
        <v>58</v>
      </c>
      <c r="V191">
        <f t="shared" si="16"/>
        <v>30000</v>
      </c>
      <c r="W191" t="str">
        <f t="shared" si="17"/>
        <v>Contract</v>
      </c>
    </row>
    <row r="192" spans="1:23" x14ac:dyDescent="0.3">
      <c r="A192">
        <v>10191</v>
      </c>
      <c r="B192" t="s">
        <v>53</v>
      </c>
      <c r="C192" t="s">
        <v>184</v>
      </c>
      <c r="D192" t="s">
        <v>192</v>
      </c>
      <c r="E192" t="s">
        <v>209</v>
      </c>
      <c r="G192">
        <v>80000</v>
      </c>
      <c r="H192" t="s">
        <v>231</v>
      </c>
      <c r="P192">
        <v>10191</v>
      </c>
      <c r="Q192" t="str">
        <f t="shared" si="12"/>
        <v>David Owusu</v>
      </c>
      <c r="R192" t="str">
        <f>_xlfn.XLOOKUP(C192,$AB$2:$AB$5,$AC$2:$AC$5,PROPER(TRIM(C192)))</f>
        <v>Ghana</v>
      </c>
      <c r="S192" t="str">
        <f t="shared" si="13"/>
        <v>Marketing</v>
      </c>
      <c r="T192" t="str">
        <f t="shared" si="14"/>
        <v>Johannesburg</v>
      </c>
      <c r="U192" t="str">
        <f t="shared" si="15"/>
        <v/>
      </c>
      <c r="V192">
        <f t="shared" si="16"/>
        <v>80000</v>
      </c>
      <c r="W192" t="str">
        <f t="shared" si="17"/>
        <v>Contract</v>
      </c>
    </row>
    <row r="193" spans="1:23" x14ac:dyDescent="0.3">
      <c r="A193">
        <v>10192</v>
      </c>
      <c r="B193" t="s">
        <v>143</v>
      </c>
      <c r="C193" t="s">
        <v>181</v>
      </c>
      <c r="D193" t="s">
        <v>198</v>
      </c>
      <c r="E193" t="s">
        <v>202</v>
      </c>
      <c r="F193">
        <v>48</v>
      </c>
      <c r="G193">
        <v>55000</v>
      </c>
      <c r="H193" t="s">
        <v>230</v>
      </c>
      <c r="P193">
        <v>10192</v>
      </c>
      <c r="Q193" t="str">
        <f t="shared" si="12"/>
        <v>Brian Okafor</v>
      </c>
      <c r="R193" t="str">
        <f>_xlfn.XLOOKUP(C193,$AB$2:$AB$5,$AC$2:$AC$5,PROPER(TRIM(C193)))</f>
        <v>Nigeria</v>
      </c>
      <c r="S193" t="str">
        <f t="shared" si="13"/>
        <v>Sales</v>
      </c>
      <c r="T193" t="str">
        <f t="shared" si="14"/>
        <v>Kumasi</v>
      </c>
      <c r="U193" t="str">
        <f t="shared" si="15"/>
        <v>48</v>
      </c>
      <c r="V193">
        <f t="shared" si="16"/>
        <v>55000</v>
      </c>
      <c r="W193" t="str">
        <f t="shared" si="17"/>
        <v>Full-Time</v>
      </c>
    </row>
    <row r="194" spans="1:23" x14ac:dyDescent="0.3">
      <c r="A194">
        <v>10193</v>
      </c>
      <c r="B194" t="s">
        <v>144</v>
      </c>
      <c r="C194" t="s">
        <v>185</v>
      </c>
      <c r="D194" t="s">
        <v>189</v>
      </c>
      <c r="E194" t="s">
        <v>204</v>
      </c>
      <c r="F194">
        <v>21</v>
      </c>
      <c r="G194">
        <v>60000</v>
      </c>
      <c r="H194" t="s">
        <v>226</v>
      </c>
      <c r="P194">
        <v>10193</v>
      </c>
      <c r="Q194" t="str">
        <f t="shared" si="12"/>
        <v>Ama Owusu</v>
      </c>
      <c r="R194" t="str">
        <f>_xlfn.XLOOKUP(C194,$AB$2:$AB$5,$AC$2:$AC$5,PROPER(TRIM(C194)))</f>
        <v>Ghana</v>
      </c>
      <c r="S194" t="str">
        <f t="shared" si="13"/>
        <v>Operations</v>
      </c>
      <c r="T194" t="str">
        <f t="shared" si="14"/>
        <v>Nairobi</v>
      </c>
      <c r="U194" t="str">
        <f t="shared" si="15"/>
        <v>21</v>
      </c>
      <c r="V194">
        <f t="shared" si="16"/>
        <v>60000</v>
      </c>
      <c r="W194" t="str">
        <f t="shared" si="17"/>
        <v>Full Time</v>
      </c>
    </row>
    <row r="195" spans="1:23" x14ac:dyDescent="0.3">
      <c r="A195">
        <v>10194</v>
      </c>
      <c r="B195" t="s">
        <v>145</v>
      </c>
      <c r="C195" t="s">
        <v>182</v>
      </c>
      <c r="D195" t="s">
        <v>187</v>
      </c>
      <c r="E195" t="s">
        <v>211</v>
      </c>
      <c r="F195">
        <v>32</v>
      </c>
      <c r="G195">
        <v>35000</v>
      </c>
      <c r="H195" t="s">
        <v>225</v>
      </c>
      <c r="P195">
        <v>10194</v>
      </c>
      <c r="Q195" t="str">
        <f t="shared" ref="Q195:Q256" si="18">PROPER(TRIM(B195))</f>
        <v>Kwame Owusu</v>
      </c>
      <c r="R195" t="str">
        <f>_xlfn.XLOOKUP(C195,$AB$2:$AB$5,$AC$2:$AC$5,PROPER(TRIM(C195)))</f>
        <v>South Africa</v>
      </c>
      <c r="S195" t="str">
        <f t="shared" ref="S195:S256" si="19">PROPER(TRIM(D195))</f>
        <v>It</v>
      </c>
      <c r="T195" t="str">
        <f t="shared" ref="T195:T256" si="20">PROPER(TRIM(E195))</f>
        <v>Lagos</v>
      </c>
      <c r="U195" t="str">
        <f t="shared" ref="U195:U256" si="21">TRIM(F195)</f>
        <v>32</v>
      </c>
      <c r="V195">
        <f t="shared" ref="V195:V256" si="22">IF(OR(G195="N/A",G195=""),"",IF(ISNUMBER(G195),G195,IF(RIGHT(G195,1)="k",VALUE(SUBSTITUTE(G195,"k",""))*1000,VALUE(SUBSTITUTE(SUBSTITUTE(G195,"$",""),",","")))))</f>
        <v>35000</v>
      </c>
      <c r="W195" t="str">
        <f t="shared" ref="W195:W256" si="23">PROPER(TRIM(H195))</f>
        <v>Intern</v>
      </c>
    </row>
    <row r="196" spans="1:23" x14ac:dyDescent="0.3">
      <c r="A196">
        <v>10195</v>
      </c>
      <c r="B196" t="s">
        <v>74</v>
      </c>
      <c r="C196" t="s">
        <v>182</v>
      </c>
      <c r="D196" t="s">
        <v>199</v>
      </c>
      <c r="E196" t="s">
        <v>207</v>
      </c>
      <c r="F196">
        <v>48</v>
      </c>
      <c r="G196" t="s">
        <v>216</v>
      </c>
      <c r="H196" t="s">
        <v>227</v>
      </c>
      <c r="P196">
        <v>10195</v>
      </c>
      <c r="Q196" t="str">
        <f t="shared" si="18"/>
        <v>David Okafor</v>
      </c>
      <c r="R196" t="str">
        <f>_xlfn.XLOOKUP(C196,$AB$2:$AB$5,$AC$2:$AC$5,PROPER(TRIM(C196)))</f>
        <v>South Africa</v>
      </c>
      <c r="S196" t="str">
        <f t="shared" si="19"/>
        <v>Marketing</v>
      </c>
      <c r="T196" t="str">
        <f t="shared" si="20"/>
        <v>Accra</v>
      </c>
      <c r="U196" t="str">
        <f t="shared" si="21"/>
        <v>48</v>
      </c>
      <c r="V196" t="str">
        <f t="shared" si="22"/>
        <v/>
      </c>
      <c r="W196" t="str">
        <f t="shared" si="23"/>
        <v>Part-Time</v>
      </c>
    </row>
    <row r="197" spans="1:23" x14ac:dyDescent="0.3">
      <c r="A197">
        <v>10196</v>
      </c>
      <c r="B197" t="s">
        <v>95</v>
      </c>
      <c r="C197" t="s">
        <v>177</v>
      </c>
      <c r="D197" t="s">
        <v>191</v>
      </c>
      <c r="E197" t="s">
        <v>204</v>
      </c>
      <c r="F197">
        <v>49</v>
      </c>
      <c r="G197">
        <v>70000</v>
      </c>
      <c r="H197" t="s">
        <v>231</v>
      </c>
      <c r="P197">
        <v>10196</v>
      </c>
      <c r="Q197" t="str">
        <f t="shared" si="18"/>
        <v>Mary Kamau</v>
      </c>
      <c r="R197" t="str">
        <f>_xlfn.XLOOKUP(C197,$AB$2:$AB$5,$AC$2:$AC$5,PROPER(TRIM(C197)))</f>
        <v>South Africa</v>
      </c>
      <c r="S197" t="str">
        <f t="shared" si="19"/>
        <v>Finance</v>
      </c>
      <c r="T197" t="str">
        <f t="shared" si="20"/>
        <v>Nairobi</v>
      </c>
      <c r="U197" t="str">
        <f t="shared" si="21"/>
        <v>49</v>
      </c>
      <c r="V197">
        <f t="shared" si="22"/>
        <v>70000</v>
      </c>
      <c r="W197" t="str">
        <f t="shared" si="23"/>
        <v>Contract</v>
      </c>
    </row>
    <row r="198" spans="1:23" x14ac:dyDescent="0.3">
      <c r="A198">
        <v>10197</v>
      </c>
      <c r="B198" t="s">
        <v>8</v>
      </c>
      <c r="C198" t="s">
        <v>175</v>
      </c>
      <c r="D198" t="s">
        <v>198</v>
      </c>
      <c r="E198" t="s">
        <v>207</v>
      </c>
      <c r="F198">
        <v>22</v>
      </c>
      <c r="G198">
        <v>65000</v>
      </c>
      <c r="H198" t="s">
        <v>229</v>
      </c>
      <c r="P198">
        <v>10197</v>
      </c>
      <c r="Q198" t="str">
        <f t="shared" si="18"/>
        <v>Grace Johnson</v>
      </c>
      <c r="R198" t="str">
        <f>_xlfn.XLOOKUP(C198,$AB$2:$AB$5,$AC$2:$AC$5,PROPER(TRIM(C198)))</f>
        <v>Ghana</v>
      </c>
      <c r="S198" t="str">
        <f t="shared" si="19"/>
        <v>Sales</v>
      </c>
      <c r="T198" t="str">
        <f t="shared" si="20"/>
        <v>Accra</v>
      </c>
      <c r="U198" t="str">
        <f t="shared" si="21"/>
        <v>22</v>
      </c>
      <c r="V198">
        <f t="shared" si="22"/>
        <v>65000</v>
      </c>
      <c r="W198" t="str">
        <f t="shared" si="23"/>
        <v>Contract</v>
      </c>
    </row>
    <row r="199" spans="1:23" x14ac:dyDescent="0.3">
      <c r="A199">
        <v>10198</v>
      </c>
      <c r="B199" t="s">
        <v>142</v>
      </c>
      <c r="C199" t="s">
        <v>186</v>
      </c>
      <c r="D199" t="s">
        <v>192</v>
      </c>
      <c r="E199" t="s">
        <v>210</v>
      </c>
      <c r="F199">
        <v>20</v>
      </c>
      <c r="G199">
        <v>50000</v>
      </c>
      <c r="H199" t="s">
        <v>229</v>
      </c>
      <c r="P199">
        <v>10198</v>
      </c>
      <c r="Q199" t="str">
        <f t="shared" si="18"/>
        <v>Fatima Johnson</v>
      </c>
      <c r="R199" t="str">
        <f>_xlfn.XLOOKUP(C199,$AB$2:$AB$5,$AC$2:$AC$5,PROPER(TRIM(C199)))</f>
        <v>Ghana</v>
      </c>
      <c r="S199" t="str">
        <f t="shared" si="19"/>
        <v>Marketing</v>
      </c>
      <c r="T199" t="str">
        <f t="shared" si="20"/>
        <v>Nairobi</v>
      </c>
      <c r="U199" t="str">
        <f t="shared" si="21"/>
        <v>20</v>
      </c>
      <c r="V199">
        <f t="shared" si="22"/>
        <v>50000</v>
      </c>
      <c r="W199" t="str">
        <f t="shared" si="23"/>
        <v>Contract</v>
      </c>
    </row>
    <row r="200" spans="1:23" x14ac:dyDescent="0.3">
      <c r="A200">
        <v>10199</v>
      </c>
      <c r="B200" t="s">
        <v>81</v>
      </c>
      <c r="C200" t="s">
        <v>185</v>
      </c>
      <c r="D200" t="s">
        <v>191</v>
      </c>
      <c r="E200" t="s">
        <v>200</v>
      </c>
      <c r="F200">
        <v>23</v>
      </c>
      <c r="G200">
        <v>90000</v>
      </c>
      <c r="H200" t="s">
        <v>224</v>
      </c>
      <c r="P200">
        <v>10199</v>
      </c>
      <c r="Q200" t="str">
        <f t="shared" si="18"/>
        <v>James Miller</v>
      </c>
      <c r="R200" t="str">
        <f>_xlfn.XLOOKUP(C200,$AB$2:$AB$5,$AC$2:$AC$5,PROPER(TRIM(C200)))</f>
        <v>Ghana</v>
      </c>
      <c r="S200" t="str">
        <f t="shared" si="19"/>
        <v>Finance</v>
      </c>
      <c r="T200" t="str">
        <f t="shared" si="20"/>
        <v>Lagos</v>
      </c>
      <c r="U200" t="str">
        <f t="shared" si="21"/>
        <v>23</v>
      </c>
      <c r="V200">
        <f t="shared" si="22"/>
        <v>90000</v>
      </c>
      <c r="W200" t="str">
        <f t="shared" si="23"/>
        <v>Full-Time</v>
      </c>
    </row>
    <row r="201" spans="1:23" x14ac:dyDescent="0.3">
      <c r="A201">
        <v>10200</v>
      </c>
      <c r="B201" t="s">
        <v>88</v>
      </c>
      <c r="C201" t="s">
        <v>174</v>
      </c>
      <c r="D201" t="s">
        <v>193</v>
      </c>
      <c r="E201" t="s">
        <v>205</v>
      </c>
      <c r="F201">
        <v>58</v>
      </c>
      <c r="G201">
        <v>65000</v>
      </c>
      <c r="H201" t="s">
        <v>231</v>
      </c>
      <c r="P201">
        <v>10200</v>
      </c>
      <c r="Q201" t="str">
        <f t="shared" si="18"/>
        <v>Alice Brown</v>
      </c>
      <c r="R201" t="str">
        <f>_xlfn.XLOOKUP(C201,$AB$2:$AB$5,$AC$2:$AC$5,PROPER(TRIM(C201)))</f>
        <v>Kenya</v>
      </c>
      <c r="S201" t="str">
        <f t="shared" si="19"/>
        <v>Operations</v>
      </c>
      <c r="T201" t="str">
        <f t="shared" si="20"/>
        <v>Tema</v>
      </c>
      <c r="U201" t="str">
        <f t="shared" si="21"/>
        <v>58</v>
      </c>
      <c r="V201">
        <f t="shared" si="22"/>
        <v>65000</v>
      </c>
      <c r="W201" t="str">
        <f t="shared" si="23"/>
        <v>Contract</v>
      </c>
    </row>
    <row r="202" spans="1:23" x14ac:dyDescent="0.3">
      <c r="A202">
        <v>10201</v>
      </c>
      <c r="B202" t="s">
        <v>146</v>
      </c>
      <c r="C202" t="s">
        <v>174</v>
      </c>
      <c r="D202" t="s">
        <v>189</v>
      </c>
      <c r="E202" t="s">
        <v>203</v>
      </c>
      <c r="F202">
        <v>44</v>
      </c>
      <c r="G202">
        <v>60000</v>
      </c>
      <c r="H202" t="s">
        <v>227</v>
      </c>
      <c r="P202">
        <v>10201</v>
      </c>
      <c r="Q202" t="str">
        <f t="shared" si="18"/>
        <v>Peter Kamau</v>
      </c>
      <c r="R202" t="str">
        <f>_xlfn.XLOOKUP(C202,$AB$2:$AB$5,$AC$2:$AC$5,PROPER(TRIM(C202)))</f>
        <v>Kenya</v>
      </c>
      <c r="S202" t="str">
        <f t="shared" si="19"/>
        <v>Operations</v>
      </c>
      <c r="T202" t="str">
        <f t="shared" si="20"/>
        <v>Accra</v>
      </c>
      <c r="U202" t="str">
        <f t="shared" si="21"/>
        <v>44</v>
      </c>
      <c r="V202">
        <f t="shared" si="22"/>
        <v>60000</v>
      </c>
      <c r="W202" t="str">
        <f t="shared" si="23"/>
        <v>Part-Time</v>
      </c>
    </row>
    <row r="203" spans="1:23" x14ac:dyDescent="0.3">
      <c r="A203">
        <v>10202</v>
      </c>
      <c r="B203" t="s">
        <v>105</v>
      </c>
      <c r="C203" t="s">
        <v>180</v>
      </c>
      <c r="D203" t="s">
        <v>189</v>
      </c>
      <c r="E203" t="s">
        <v>205</v>
      </c>
      <c r="F203">
        <v>29</v>
      </c>
      <c r="G203">
        <v>90000</v>
      </c>
      <c r="H203" t="s">
        <v>224</v>
      </c>
      <c r="P203">
        <v>10202</v>
      </c>
      <c r="Q203" t="str">
        <f t="shared" si="18"/>
        <v>Michael Kamau</v>
      </c>
      <c r="R203" t="str">
        <f>_xlfn.XLOOKUP(C203,$AB$2:$AB$5,$AC$2:$AC$5,PROPER(TRIM(C203)))</f>
        <v>Ghana</v>
      </c>
      <c r="S203" t="str">
        <f t="shared" si="19"/>
        <v>Operations</v>
      </c>
      <c r="T203" t="str">
        <f t="shared" si="20"/>
        <v>Tema</v>
      </c>
      <c r="U203" t="str">
        <f t="shared" si="21"/>
        <v>29</v>
      </c>
      <c r="V203">
        <f t="shared" si="22"/>
        <v>90000</v>
      </c>
      <c r="W203" t="str">
        <f t="shared" si="23"/>
        <v>Full-Time</v>
      </c>
    </row>
    <row r="204" spans="1:23" x14ac:dyDescent="0.3">
      <c r="A204">
        <v>10203</v>
      </c>
      <c r="B204" t="s">
        <v>147</v>
      </c>
      <c r="C204" t="s">
        <v>179</v>
      </c>
      <c r="D204" t="s">
        <v>195</v>
      </c>
      <c r="E204" t="s">
        <v>200</v>
      </c>
      <c r="F204">
        <v>25</v>
      </c>
      <c r="G204">
        <v>50000</v>
      </c>
      <c r="H204" t="s">
        <v>228</v>
      </c>
      <c r="P204">
        <v>10203</v>
      </c>
      <c r="Q204" t="str">
        <f t="shared" si="18"/>
        <v>Emma Mensah</v>
      </c>
      <c r="R204" t="str">
        <f>_xlfn.XLOOKUP(C204,$AB$2:$AB$5,$AC$2:$AC$5,PROPER(TRIM(C204)))</f>
        <v>Kenya</v>
      </c>
      <c r="S204" t="str">
        <f t="shared" si="19"/>
        <v>Sales</v>
      </c>
      <c r="T204" t="str">
        <f t="shared" si="20"/>
        <v>Lagos</v>
      </c>
      <c r="U204" t="str">
        <f t="shared" si="21"/>
        <v>25</v>
      </c>
      <c r="V204">
        <f t="shared" si="22"/>
        <v>50000</v>
      </c>
      <c r="W204" t="str">
        <f t="shared" si="23"/>
        <v>Part-Time</v>
      </c>
    </row>
    <row r="205" spans="1:23" x14ac:dyDescent="0.3">
      <c r="A205">
        <v>10204</v>
      </c>
      <c r="B205" t="s">
        <v>15</v>
      </c>
      <c r="C205" t="s">
        <v>185</v>
      </c>
      <c r="D205" t="s">
        <v>191</v>
      </c>
      <c r="E205" t="s">
        <v>208</v>
      </c>
      <c r="F205">
        <v>39</v>
      </c>
      <c r="G205">
        <v>80000</v>
      </c>
      <c r="H205" t="s">
        <v>230</v>
      </c>
      <c r="P205">
        <v>10204</v>
      </c>
      <c r="Q205" t="str">
        <f t="shared" si="18"/>
        <v>James Okafor</v>
      </c>
      <c r="R205" t="str">
        <f>_xlfn.XLOOKUP(C205,$AB$2:$AB$5,$AC$2:$AC$5,PROPER(TRIM(C205)))</f>
        <v>Ghana</v>
      </c>
      <c r="S205" t="str">
        <f t="shared" si="19"/>
        <v>Finance</v>
      </c>
      <c r="T205" t="str">
        <f t="shared" si="20"/>
        <v>Kumasi</v>
      </c>
      <c r="U205" t="str">
        <f t="shared" si="21"/>
        <v>39</v>
      </c>
      <c r="V205">
        <f t="shared" si="22"/>
        <v>80000</v>
      </c>
      <c r="W205" t="str">
        <f t="shared" si="23"/>
        <v>Full-Time</v>
      </c>
    </row>
    <row r="206" spans="1:23" x14ac:dyDescent="0.3">
      <c r="A206">
        <v>10205</v>
      </c>
      <c r="B206" t="s">
        <v>12</v>
      </c>
      <c r="C206" t="s">
        <v>186</v>
      </c>
      <c r="D206" t="s">
        <v>188</v>
      </c>
      <c r="E206" t="s">
        <v>207</v>
      </c>
      <c r="F206">
        <v>43</v>
      </c>
      <c r="G206">
        <v>40000</v>
      </c>
      <c r="H206" t="s">
        <v>225</v>
      </c>
      <c r="P206">
        <v>10205</v>
      </c>
      <c r="Q206" t="str">
        <f t="shared" si="18"/>
        <v>Kwame Smith</v>
      </c>
      <c r="R206" t="str">
        <f>_xlfn.XLOOKUP(C206,$AB$2:$AB$5,$AC$2:$AC$5,PROPER(TRIM(C206)))</f>
        <v>Ghana</v>
      </c>
      <c r="S206" t="str">
        <f t="shared" si="19"/>
        <v>Sales</v>
      </c>
      <c r="T206" t="str">
        <f t="shared" si="20"/>
        <v>Accra</v>
      </c>
      <c r="U206" t="str">
        <f t="shared" si="21"/>
        <v>43</v>
      </c>
      <c r="V206">
        <f t="shared" si="22"/>
        <v>40000</v>
      </c>
      <c r="W206" t="str">
        <f t="shared" si="23"/>
        <v>Intern</v>
      </c>
    </row>
    <row r="207" spans="1:23" x14ac:dyDescent="0.3">
      <c r="A207">
        <v>10206</v>
      </c>
      <c r="B207" t="s">
        <v>10</v>
      </c>
      <c r="C207" t="s">
        <v>173</v>
      </c>
      <c r="D207" t="s">
        <v>194</v>
      </c>
      <c r="E207" t="s">
        <v>210</v>
      </c>
      <c r="F207">
        <v>28</v>
      </c>
      <c r="H207" t="s">
        <v>229</v>
      </c>
      <c r="P207">
        <v>10206</v>
      </c>
      <c r="Q207" t="str">
        <f t="shared" si="18"/>
        <v>David Williams</v>
      </c>
      <c r="R207" t="str">
        <f>_xlfn.XLOOKUP(C207,$AB$2:$AB$5,$AC$2:$AC$5,PROPER(TRIM(C207)))</f>
        <v>South Africa</v>
      </c>
      <c r="S207" t="str">
        <f t="shared" si="19"/>
        <v>Finance</v>
      </c>
      <c r="T207" t="str">
        <f t="shared" si="20"/>
        <v>Nairobi</v>
      </c>
      <c r="U207" t="str">
        <f t="shared" si="21"/>
        <v>28</v>
      </c>
      <c r="V207" t="str">
        <f t="shared" si="22"/>
        <v/>
      </c>
      <c r="W207" t="str">
        <f t="shared" si="23"/>
        <v>Contract</v>
      </c>
    </row>
    <row r="208" spans="1:23" x14ac:dyDescent="0.3">
      <c r="A208">
        <v>10207</v>
      </c>
      <c r="B208" t="s">
        <v>148</v>
      </c>
      <c r="C208" t="s">
        <v>174</v>
      </c>
      <c r="D208" t="s">
        <v>191</v>
      </c>
      <c r="E208" t="s">
        <v>200</v>
      </c>
      <c r="F208">
        <v>22</v>
      </c>
      <c r="G208">
        <v>90000</v>
      </c>
      <c r="H208" t="s">
        <v>227</v>
      </c>
      <c r="P208">
        <v>10207</v>
      </c>
      <c r="Q208" t="str">
        <f t="shared" si="18"/>
        <v>Alice Owusu</v>
      </c>
      <c r="R208" t="str">
        <f>_xlfn.XLOOKUP(C208,$AB$2:$AB$5,$AC$2:$AC$5,PROPER(TRIM(C208)))</f>
        <v>Kenya</v>
      </c>
      <c r="S208" t="str">
        <f t="shared" si="19"/>
        <v>Finance</v>
      </c>
      <c r="T208" t="str">
        <f t="shared" si="20"/>
        <v>Lagos</v>
      </c>
      <c r="U208" t="str">
        <f t="shared" si="21"/>
        <v>22</v>
      </c>
      <c r="V208">
        <f t="shared" si="22"/>
        <v>90000</v>
      </c>
      <c r="W208" t="str">
        <f t="shared" si="23"/>
        <v>Part-Time</v>
      </c>
    </row>
    <row r="209" spans="1:23" x14ac:dyDescent="0.3">
      <c r="A209">
        <v>10208</v>
      </c>
      <c r="B209" t="s">
        <v>149</v>
      </c>
      <c r="C209" t="s">
        <v>178</v>
      </c>
      <c r="D209" t="s">
        <v>188</v>
      </c>
      <c r="E209" t="s">
        <v>201</v>
      </c>
      <c r="F209">
        <v>28</v>
      </c>
      <c r="G209">
        <v>65000</v>
      </c>
      <c r="H209" t="s">
        <v>230</v>
      </c>
      <c r="P209">
        <v>10208</v>
      </c>
      <c r="Q209" t="str">
        <f t="shared" si="18"/>
        <v>Emma Smith</v>
      </c>
      <c r="R209" t="str">
        <f>_xlfn.XLOOKUP(C209,$AB$2:$AB$5,$AC$2:$AC$5,PROPER(TRIM(C209)))</f>
        <v>Kenya</v>
      </c>
      <c r="S209" t="str">
        <f t="shared" si="19"/>
        <v>Sales</v>
      </c>
      <c r="T209" t="str">
        <f t="shared" si="20"/>
        <v>Johannesburg</v>
      </c>
      <c r="U209" t="str">
        <f t="shared" si="21"/>
        <v>28</v>
      </c>
      <c r="V209">
        <f t="shared" si="22"/>
        <v>65000</v>
      </c>
      <c r="W209" t="str">
        <f t="shared" si="23"/>
        <v>Full-Time</v>
      </c>
    </row>
    <row r="210" spans="1:23" x14ac:dyDescent="0.3">
      <c r="A210">
        <v>10209</v>
      </c>
      <c r="B210" t="s">
        <v>148</v>
      </c>
      <c r="C210" t="s">
        <v>181</v>
      </c>
      <c r="D210" t="s">
        <v>193</v>
      </c>
      <c r="E210" t="s">
        <v>205</v>
      </c>
      <c r="F210">
        <v>27</v>
      </c>
      <c r="G210">
        <v>90000</v>
      </c>
      <c r="H210" t="s">
        <v>228</v>
      </c>
      <c r="P210">
        <v>10209</v>
      </c>
      <c r="Q210" t="str">
        <f t="shared" si="18"/>
        <v>Alice Owusu</v>
      </c>
      <c r="R210" t="str">
        <f>_xlfn.XLOOKUP(C210,$AB$2:$AB$5,$AC$2:$AC$5,PROPER(TRIM(C210)))</f>
        <v>Nigeria</v>
      </c>
      <c r="S210" t="str">
        <f t="shared" si="19"/>
        <v>Operations</v>
      </c>
      <c r="T210" t="str">
        <f t="shared" si="20"/>
        <v>Tema</v>
      </c>
      <c r="U210" t="str">
        <f t="shared" si="21"/>
        <v>27</v>
      </c>
      <c r="V210">
        <f t="shared" si="22"/>
        <v>90000</v>
      </c>
      <c r="W210" t="str">
        <f t="shared" si="23"/>
        <v>Part-Time</v>
      </c>
    </row>
    <row r="211" spans="1:23" x14ac:dyDescent="0.3">
      <c r="A211">
        <v>10210</v>
      </c>
      <c r="B211" t="s">
        <v>150</v>
      </c>
      <c r="C211" t="s">
        <v>186</v>
      </c>
      <c r="D211" t="s">
        <v>196</v>
      </c>
      <c r="E211" t="s">
        <v>206</v>
      </c>
      <c r="F211">
        <v>32</v>
      </c>
      <c r="G211">
        <v>50000</v>
      </c>
      <c r="H211" t="s">
        <v>228</v>
      </c>
      <c r="P211">
        <v>10210</v>
      </c>
      <c r="Q211" t="str">
        <f t="shared" si="18"/>
        <v>Mary Adams</v>
      </c>
      <c r="R211" t="str">
        <f>_xlfn.XLOOKUP(C211,$AB$2:$AB$5,$AC$2:$AC$5,PROPER(TRIM(C211)))</f>
        <v>Ghana</v>
      </c>
      <c r="S211" t="str">
        <f t="shared" si="19"/>
        <v>Hr</v>
      </c>
      <c r="T211" t="str">
        <f t="shared" si="20"/>
        <v>Tema</v>
      </c>
      <c r="U211" t="str">
        <f t="shared" si="21"/>
        <v>32</v>
      </c>
      <c r="V211">
        <f t="shared" si="22"/>
        <v>50000</v>
      </c>
      <c r="W211" t="str">
        <f t="shared" si="23"/>
        <v>Part-Time</v>
      </c>
    </row>
    <row r="212" spans="1:23" x14ac:dyDescent="0.3">
      <c r="A212">
        <v>10211</v>
      </c>
      <c r="B212" t="s">
        <v>151</v>
      </c>
      <c r="C212" t="s">
        <v>181</v>
      </c>
      <c r="D212" t="s">
        <v>189</v>
      </c>
      <c r="E212" t="s">
        <v>208</v>
      </c>
      <c r="F212">
        <v>22</v>
      </c>
      <c r="G212">
        <v>65000</v>
      </c>
      <c r="H212" t="s">
        <v>225</v>
      </c>
      <c r="P212">
        <v>10211</v>
      </c>
      <c r="Q212" t="str">
        <f t="shared" si="18"/>
        <v>Joseph Owusu</v>
      </c>
      <c r="R212" t="str">
        <f>_xlfn.XLOOKUP(C212,$AB$2:$AB$5,$AC$2:$AC$5,PROPER(TRIM(C212)))</f>
        <v>Nigeria</v>
      </c>
      <c r="S212" t="str">
        <f t="shared" si="19"/>
        <v>Operations</v>
      </c>
      <c r="T212" t="str">
        <f t="shared" si="20"/>
        <v>Kumasi</v>
      </c>
      <c r="U212" t="str">
        <f t="shared" si="21"/>
        <v>22</v>
      </c>
      <c r="V212">
        <f t="shared" si="22"/>
        <v>65000</v>
      </c>
      <c r="W212" t="str">
        <f t="shared" si="23"/>
        <v>Intern</v>
      </c>
    </row>
    <row r="213" spans="1:23" x14ac:dyDescent="0.3">
      <c r="A213">
        <v>10212</v>
      </c>
      <c r="B213" t="s">
        <v>152</v>
      </c>
      <c r="C213" t="s">
        <v>174</v>
      </c>
      <c r="D213" t="s">
        <v>189</v>
      </c>
      <c r="E213" t="s">
        <v>207</v>
      </c>
      <c r="F213">
        <v>25</v>
      </c>
      <c r="G213">
        <v>65000</v>
      </c>
      <c r="H213" t="s">
        <v>226</v>
      </c>
      <c r="P213">
        <v>10212</v>
      </c>
      <c r="Q213" t="str">
        <f t="shared" si="18"/>
        <v>Sarah Kamau</v>
      </c>
      <c r="R213" t="str">
        <f>_xlfn.XLOOKUP(C213,$AB$2:$AB$5,$AC$2:$AC$5,PROPER(TRIM(C213)))</f>
        <v>Kenya</v>
      </c>
      <c r="S213" t="str">
        <f t="shared" si="19"/>
        <v>Operations</v>
      </c>
      <c r="T213" t="str">
        <f t="shared" si="20"/>
        <v>Accra</v>
      </c>
      <c r="U213" t="str">
        <f t="shared" si="21"/>
        <v>25</v>
      </c>
      <c r="V213">
        <f t="shared" si="22"/>
        <v>65000</v>
      </c>
      <c r="W213" t="str">
        <f t="shared" si="23"/>
        <v>Full Time</v>
      </c>
    </row>
    <row r="214" spans="1:23" x14ac:dyDescent="0.3">
      <c r="A214">
        <v>10213</v>
      </c>
      <c r="B214" t="s">
        <v>95</v>
      </c>
      <c r="C214" t="s">
        <v>177</v>
      </c>
      <c r="D214" t="s">
        <v>198</v>
      </c>
      <c r="E214" t="s">
        <v>209</v>
      </c>
      <c r="F214">
        <v>60</v>
      </c>
      <c r="G214" t="s">
        <v>221</v>
      </c>
      <c r="H214" t="s">
        <v>228</v>
      </c>
      <c r="P214">
        <v>10213</v>
      </c>
      <c r="Q214" t="str">
        <f t="shared" si="18"/>
        <v>Mary Kamau</v>
      </c>
      <c r="R214" t="str">
        <f>_xlfn.XLOOKUP(C214,$AB$2:$AB$5,$AC$2:$AC$5,PROPER(TRIM(C214)))</f>
        <v>South Africa</v>
      </c>
      <c r="S214" t="str">
        <f t="shared" si="19"/>
        <v>Sales</v>
      </c>
      <c r="T214" t="str">
        <f t="shared" si="20"/>
        <v>Johannesburg</v>
      </c>
      <c r="U214" t="str">
        <f t="shared" si="21"/>
        <v>60</v>
      </c>
      <c r="V214">
        <f t="shared" si="22"/>
        <v>90000</v>
      </c>
      <c r="W214" t="str">
        <f t="shared" si="23"/>
        <v>Part-Time</v>
      </c>
    </row>
    <row r="215" spans="1:23" x14ac:dyDescent="0.3">
      <c r="A215">
        <v>10214</v>
      </c>
      <c r="B215" t="s">
        <v>153</v>
      </c>
      <c r="C215" t="s">
        <v>174</v>
      </c>
      <c r="D215" t="s">
        <v>196</v>
      </c>
      <c r="E215" t="s">
        <v>201</v>
      </c>
      <c r="F215">
        <v>26</v>
      </c>
      <c r="G215">
        <v>50000</v>
      </c>
      <c r="H215" t="s">
        <v>226</v>
      </c>
      <c r="P215">
        <v>10214</v>
      </c>
      <c r="Q215" t="str">
        <f t="shared" si="18"/>
        <v>Kwame Johnson</v>
      </c>
      <c r="R215" t="str">
        <f>_xlfn.XLOOKUP(C215,$AB$2:$AB$5,$AC$2:$AC$5,PROPER(TRIM(C215)))</f>
        <v>Kenya</v>
      </c>
      <c r="S215" t="str">
        <f t="shared" si="19"/>
        <v>Hr</v>
      </c>
      <c r="T215" t="str">
        <f t="shared" si="20"/>
        <v>Johannesburg</v>
      </c>
      <c r="U215" t="str">
        <f t="shared" si="21"/>
        <v>26</v>
      </c>
      <c r="V215">
        <f t="shared" si="22"/>
        <v>50000</v>
      </c>
      <c r="W215" t="str">
        <f t="shared" si="23"/>
        <v>Full Time</v>
      </c>
    </row>
    <row r="216" spans="1:23" x14ac:dyDescent="0.3">
      <c r="A216">
        <v>10215</v>
      </c>
      <c r="B216" t="s">
        <v>100</v>
      </c>
      <c r="C216" t="s">
        <v>178</v>
      </c>
      <c r="D216" t="s">
        <v>195</v>
      </c>
      <c r="E216" t="s">
        <v>211</v>
      </c>
      <c r="F216">
        <v>29</v>
      </c>
      <c r="H216" t="s">
        <v>228</v>
      </c>
      <c r="P216">
        <v>10215</v>
      </c>
      <c r="Q216" t="str">
        <f t="shared" si="18"/>
        <v>Ama Adams</v>
      </c>
      <c r="R216" t="str">
        <f>_xlfn.XLOOKUP(C216,$AB$2:$AB$5,$AC$2:$AC$5,PROPER(TRIM(C216)))</f>
        <v>Kenya</v>
      </c>
      <c r="S216" t="str">
        <f t="shared" si="19"/>
        <v>Sales</v>
      </c>
      <c r="T216" t="str">
        <f t="shared" si="20"/>
        <v>Lagos</v>
      </c>
      <c r="U216" t="str">
        <f t="shared" si="21"/>
        <v>29</v>
      </c>
      <c r="V216" t="str">
        <f t="shared" si="22"/>
        <v/>
      </c>
      <c r="W216" t="str">
        <f t="shared" si="23"/>
        <v>Part-Time</v>
      </c>
    </row>
    <row r="217" spans="1:23" x14ac:dyDescent="0.3">
      <c r="A217">
        <v>10216</v>
      </c>
      <c r="B217" t="s">
        <v>38</v>
      </c>
      <c r="C217" t="s">
        <v>180</v>
      </c>
      <c r="D217" t="s">
        <v>188</v>
      </c>
      <c r="E217" t="s">
        <v>201</v>
      </c>
      <c r="F217">
        <v>58</v>
      </c>
      <c r="G217">
        <v>35000</v>
      </c>
      <c r="H217" t="s">
        <v>225</v>
      </c>
      <c r="P217">
        <v>10216</v>
      </c>
      <c r="Q217" t="str">
        <f t="shared" si="18"/>
        <v>Grace Owusu</v>
      </c>
      <c r="R217" t="str">
        <f>_xlfn.XLOOKUP(C217,$AB$2:$AB$5,$AC$2:$AC$5,PROPER(TRIM(C217)))</f>
        <v>Ghana</v>
      </c>
      <c r="S217" t="str">
        <f t="shared" si="19"/>
        <v>Sales</v>
      </c>
      <c r="T217" t="str">
        <f t="shared" si="20"/>
        <v>Johannesburg</v>
      </c>
      <c r="U217" t="str">
        <f t="shared" si="21"/>
        <v>58</v>
      </c>
      <c r="V217">
        <f t="shared" si="22"/>
        <v>35000</v>
      </c>
      <c r="W217" t="str">
        <f t="shared" si="23"/>
        <v>Intern</v>
      </c>
    </row>
    <row r="218" spans="1:23" x14ac:dyDescent="0.3">
      <c r="A218">
        <v>10217</v>
      </c>
      <c r="B218" t="s">
        <v>154</v>
      </c>
      <c r="C218" t="s">
        <v>178</v>
      </c>
      <c r="D218" t="s">
        <v>198</v>
      </c>
      <c r="E218" t="s">
        <v>200</v>
      </c>
      <c r="F218">
        <v>50</v>
      </c>
      <c r="G218">
        <v>35000</v>
      </c>
      <c r="H218" t="s">
        <v>227</v>
      </c>
      <c r="P218">
        <v>10217</v>
      </c>
      <c r="Q218" t="str">
        <f t="shared" si="18"/>
        <v>Ama Mensah</v>
      </c>
      <c r="R218" t="str">
        <f>_xlfn.XLOOKUP(C218,$AB$2:$AB$5,$AC$2:$AC$5,PROPER(TRIM(C218)))</f>
        <v>Kenya</v>
      </c>
      <c r="S218" t="str">
        <f t="shared" si="19"/>
        <v>Sales</v>
      </c>
      <c r="T218" t="str">
        <f t="shared" si="20"/>
        <v>Lagos</v>
      </c>
      <c r="U218" t="str">
        <f t="shared" si="21"/>
        <v>50</v>
      </c>
      <c r="V218">
        <f t="shared" si="22"/>
        <v>35000</v>
      </c>
      <c r="W218" t="str">
        <f t="shared" si="23"/>
        <v>Part-Time</v>
      </c>
    </row>
    <row r="219" spans="1:23" x14ac:dyDescent="0.3">
      <c r="A219">
        <v>10218</v>
      </c>
      <c r="B219" t="s">
        <v>155</v>
      </c>
      <c r="C219" t="s">
        <v>176</v>
      </c>
      <c r="D219" t="s">
        <v>195</v>
      </c>
      <c r="E219" t="s">
        <v>211</v>
      </c>
      <c r="F219">
        <v>29</v>
      </c>
      <c r="G219">
        <v>70000</v>
      </c>
      <c r="H219" t="s">
        <v>225</v>
      </c>
      <c r="P219">
        <v>10218</v>
      </c>
      <c r="Q219" t="str">
        <f t="shared" si="18"/>
        <v>Ama Smith</v>
      </c>
      <c r="R219" t="str">
        <f>_xlfn.XLOOKUP(C219,$AB$2:$AB$5,$AC$2:$AC$5,PROPER(TRIM(C219)))</f>
        <v>Nigeria</v>
      </c>
      <c r="S219" t="str">
        <f t="shared" si="19"/>
        <v>Sales</v>
      </c>
      <c r="T219" t="str">
        <f t="shared" si="20"/>
        <v>Lagos</v>
      </c>
      <c r="U219" t="str">
        <f t="shared" si="21"/>
        <v>29</v>
      </c>
      <c r="V219">
        <f t="shared" si="22"/>
        <v>70000</v>
      </c>
      <c r="W219" t="str">
        <f t="shared" si="23"/>
        <v>Intern</v>
      </c>
    </row>
    <row r="220" spans="1:23" x14ac:dyDescent="0.3">
      <c r="A220">
        <v>10219</v>
      </c>
      <c r="B220" t="s">
        <v>47</v>
      </c>
      <c r="C220" t="s">
        <v>173</v>
      </c>
      <c r="D220" t="s">
        <v>196</v>
      </c>
      <c r="E220" t="s">
        <v>202</v>
      </c>
      <c r="F220">
        <v>39</v>
      </c>
      <c r="G220">
        <v>45000</v>
      </c>
      <c r="H220" t="s">
        <v>224</v>
      </c>
      <c r="P220">
        <v>10219</v>
      </c>
      <c r="Q220" t="str">
        <f t="shared" si="18"/>
        <v>Sarah Brown</v>
      </c>
      <c r="R220" t="str">
        <f>_xlfn.XLOOKUP(C220,$AB$2:$AB$5,$AC$2:$AC$5,PROPER(TRIM(C220)))</f>
        <v>South Africa</v>
      </c>
      <c r="S220" t="str">
        <f t="shared" si="19"/>
        <v>Hr</v>
      </c>
      <c r="T220" t="str">
        <f t="shared" si="20"/>
        <v>Kumasi</v>
      </c>
      <c r="U220" t="str">
        <f t="shared" si="21"/>
        <v>39</v>
      </c>
      <c r="V220">
        <f t="shared" si="22"/>
        <v>45000</v>
      </c>
      <c r="W220" t="str">
        <f t="shared" si="23"/>
        <v>Full-Time</v>
      </c>
    </row>
    <row r="221" spans="1:23" x14ac:dyDescent="0.3">
      <c r="A221">
        <v>10220</v>
      </c>
      <c r="B221" t="s">
        <v>64</v>
      </c>
      <c r="C221" t="s">
        <v>177</v>
      </c>
      <c r="D221" t="s">
        <v>196</v>
      </c>
      <c r="E221" t="s">
        <v>207</v>
      </c>
      <c r="F221">
        <v>29</v>
      </c>
      <c r="G221">
        <v>55000</v>
      </c>
      <c r="H221" t="s">
        <v>230</v>
      </c>
      <c r="P221">
        <v>10220</v>
      </c>
      <c r="Q221" t="str">
        <f t="shared" si="18"/>
        <v>Michael Mensah</v>
      </c>
      <c r="R221" t="str">
        <f>_xlfn.XLOOKUP(C221,$AB$2:$AB$5,$AC$2:$AC$5,PROPER(TRIM(C221)))</f>
        <v>South Africa</v>
      </c>
      <c r="S221" t="str">
        <f t="shared" si="19"/>
        <v>Hr</v>
      </c>
      <c r="T221" t="str">
        <f t="shared" si="20"/>
        <v>Accra</v>
      </c>
      <c r="U221" t="str">
        <f t="shared" si="21"/>
        <v>29</v>
      </c>
      <c r="V221">
        <f t="shared" si="22"/>
        <v>55000</v>
      </c>
      <c r="W221" t="str">
        <f t="shared" si="23"/>
        <v>Full-Time</v>
      </c>
    </row>
    <row r="222" spans="1:23" x14ac:dyDescent="0.3">
      <c r="A222">
        <v>10221</v>
      </c>
      <c r="B222" t="s">
        <v>43</v>
      </c>
      <c r="C222" t="s">
        <v>182</v>
      </c>
      <c r="D222" t="s">
        <v>189</v>
      </c>
      <c r="E222" t="s">
        <v>201</v>
      </c>
      <c r="F222">
        <v>55</v>
      </c>
      <c r="G222">
        <v>90000</v>
      </c>
      <c r="H222" t="s">
        <v>226</v>
      </c>
      <c r="P222">
        <v>10221</v>
      </c>
      <c r="Q222" t="str">
        <f t="shared" si="18"/>
        <v>Fatima Owusu</v>
      </c>
      <c r="R222" t="str">
        <f>_xlfn.XLOOKUP(C222,$AB$2:$AB$5,$AC$2:$AC$5,PROPER(TRIM(C222)))</f>
        <v>South Africa</v>
      </c>
      <c r="S222" t="str">
        <f t="shared" si="19"/>
        <v>Operations</v>
      </c>
      <c r="T222" t="str">
        <f t="shared" si="20"/>
        <v>Johannesburg</v>
      </c>
      <c r="U222" t="str">
        <f t="shared" si="21"/>
        <v>55</v>
      </c>
      <c r="V222">
        <f t="shared" si="22"/>
        <v>90000</v>
      </c>
      <c r="W222" t="str">
        <f t="shared" si="23"/>
        <v>Full Time</v>
      </c>
    </row>
    <row r="223" spans="1:23" x14ac:dyDescent="0.3">
      <c r="A223">
        <v>10222</v>
      </c>
      <c r="B223" t="s">
        <v>156</v>
      </c>
      <c r="C223" t="s">
        <v>173</v>
      </c>
      <c r="D223" t="s">
        <v>187</v>
      </c>
      <c r="E223" t="s">
        <v>207</v>
      </c>
      <c r="F223">
        <v>25</v>
      </c>
      <c r="G223">
        <v>40000</v>
      </c>
      <c r="H223" t="s">
        <v>226</v>
      </c>
      <c r="P223">
        <v>10222</v>
      </c>
      <c r="Q223" t="str">
        <f t="shared" si="18"/>
        <v>Nana Okafor</v>
      </c>
      <c r="R223" t="str">
        <f>_xlfn.XLOOKUP(C223,$AB$2:$AB$5,$AC$2:$AC$5,PROPER(TRIM(C223)))</f>
        <v>South Africa</v>
      </c>
      <c r="S223" t="str">
        <f t="shared" si="19"/>
        <v>It</v>
      </c>
      <c r="T223" t="str">
        <f t="shared" si="20"/>
        <v>Accra</v>
      </c>
      <c r="U223" t="str">
        <f t="shared" si="21"/>
        <v>25</v>
      </c>
      <c r="V223">
        <f t="shared" si="22"/>
        <v>40000</v>
      </c>
      <c r="W223" t="str">
        <f t="shared" si="23"/>
        <v>Full Time</v>
      </c>
    </row>
    <row r="224" spans="1:23" x14ac:dyDescent="0.3">
      <c r="A224">
        <v>10223</v>
      </c>
      <c r="B224" t="s">
        <v>32</v>
      </c>
      <c r="C224" t="s">
        <v>173</v>
      </c>
      <c r="D224" t="s">
        <v>199</v>
      </c>
      <c r="E224" t="s">
        <v>207</v>
      </c>
      <c r="F224">
        <v>54</v>
      </c>
      <c r="G224">
        <v>70000</v>
      </c>
      <c r="H224" t="s">
        <v>231</v>
      </c>
      <c r="P224">
        <v>10223</v>
      </c>
      <c r="Q224" t="str">
        <f t="shared" si="18"/>
        <v>Sarah Owusu</v>
      </c>
      <c r="R224" t="str">
        <f>_xlfn.XLOOKUP(C224,$AB$2:$AB$5,$AC$2:$AC$5,PROPER(TRIM(C224)))</f>
        <v>South Africa</v>
      </c>
      <c r="S224" t="str">
        <f t="shared" si="19"/>
        <v>Marketing</v>
      </c>
      <c r="T224" t="str">
        <f t="shared" si="20"/>
        <v>Accra</v>
      </c>
      <c r="U224" t="str">
        <f t="shared" si="21"/>
        <v>54</v>
      </c>
      <c r="V224">
        <f t="shared" si="22"/>
        <v>70000</v>
      </c>
      <c r="W224" t="str">
        <f t="shared" si="23"/>
        <v>Contract</v>
      </c>
    </row>
    <row r="225" spans="1:23" x14ac:dyDescent="0.3">
      <c r="A225">
        <v>10224</v>
      </c>
      <c r="B225" t="s">
        <v>15</v>
      </c>
      <c r="C225" t="s">
        <v>173</v>
      </c>
      <c r="D225" t="s">
        <v>189</v>
      </c>
      <c r="E225" t="s">
        <v>209</v>
      </c>
      <c r="F225">
        <v>51</v>
      </c>
      <c r="G225">
        <v>35000</v>
      </c>
      <c r="H225" t="s">
        <v>231</v>
      </c>
      <c r="P225">
        <v>10224</v>
      </c>
      <c r="Q225" t="str">
        <f t="shared" si="18"/>
        <v>James Okafor</v>
      </c>
      <c r="R225" t="str">
        <f>_xlfn.XLOOKUP(C225,$AB$2:$AB$5,$AC$2:$AC$5,PROPER(TRIM(C225)))</f>
        <v>South Africa</v>
      </c>
      <c r="S225" t="str">
        <f t="shared" si="19"/>
        <v>Operations</v>
      </c>
      <c r="T225" t="str">
        <f t="shared" si="20"/>
        <v>Johannesburg</v>
      </c>
      <c r="U225" t="str">
        <f t="shared" si="21"/>
        <v>51</v>
      </c>
      <c r="V225">
        <f t="shared" si="22"/>
        <v>35000</v>
      </c>
      <c r="W225" t="str">
        <f t="shared" si="23"/>
        <v>Contract</v>
      </c>
    </row>
    <row r="226" spans="1:23" x14ac:dyDescent="0.3">
      <c r="A226">
        <v>10225</v>
      </c>
      <c r="B226" t="s">
        <v>63</v>
      </c>
      <c r="C226" t="s">
        <v>176</v>
      </c>
      <c r="D226" t="s">
        <v>187</v>
      </c>
      <c r="E226" t="s">
        <v>209</v>
      </c>
      <c r="F226">
        <v>22</v>
      </c>
      <c r="G226">
        <v>30000</v>
      </c>
      <c r="H226" t="s">
        <v>229</v>
      </c>
      <c r="P226">
        <v>10225</v>
      </c>
      <c r="Q226" t="str">
        <f t="shared" si="18"/>
        <v>Peter Johnson</v>
      </c>
      <c r="R226" t="str">
        <f>_xlfn.XLOOKUP(C226,$AB$2:$AB$5,$AC$2:$AC$5,PROPER(TRIM(C226)))</f>
        <v>Nigeria</v>
      </c>
      <c r="S226" t="str">
        <f t="shared" si="19"/>
        <v>It</v>
      </c>
      <c r="T226" t="str">
        <f t="shared" si="20"/>
        <v>Johannesburg</v>
      </c>
      <c r="U226" t="str">
        <f t="shared" si="21"/>
        <v>22</v>
      </c>
      <c r="V226">
        <f t="shared" si="22"/>
        <v>30000</v>
      </c>
      <c r="W226" t="str">
        <f t="shared" si="23"/>
        <v>Contract</v>
      </c>
    </row>
    <row r="227" spans="1:23" x14ac:dyDescent="0.3">
      <c r="A227">
        <v>10226</v>
      </c>
      <c r="B227" t="s">
        <v>157</v>
      </c>
      <c r="C227" t="s">
        <v>177</v>
      </c>
      <c r="D227" t="s">
        <v>189</v>
      </c>
      <c r="E227" t="s">
        <v>206</v>
      </c>
      <c r="F227">
        <v>35</v>
      </c>
      <c r="G227">
        <v>50000</v>
      </c>
      <c r="H227" t="s">
        <v>226</v>
      </c>
      <c r="P227">
        <v>10226</v>
      </c>
      <c r="Q227" t="str">
        <f t="shared" si="18"/>
        <v>Brian Kamau</v>
      </c>
      <c r="R227" t="str">
        <f>_xlfn.XLOOKUP(C227,$AB$2:$AB$5,$AC$2:$AC$5,PROPER(TRIM(C227)))</f>
        <v>South Africa</v>
      </c>
      <c r="S227" t="str">
        <f t="shared" si="19"/>
        <v>Operations</v>
      </c>
      <c r="T227" t="str">
        <f t="shared" si="20"/>
        <v>Tema</v>
      </c>
      <c r="U227" t="str">
        <f t="shared" si="21"/>
        <v>35</v>
      </c>
      <c r="V227">
        <f t="shared" si="22"/>
        <v>50000</v>
      </c>
      <c r="W227" t="str">
        <f t="shared" si="23"/>
        <v>Full Time</v>
      </c>
    </row>
    <row r="228" spans="1:23" x14ac:dyDescent="0.3">
      <c r="A228">
        <v>10227</v>
      </c>
      <c r="B228" t="s">
        <v>158</v>
      </c>
      <c r="C228" t="s">
        <v>184</v>
      </c>
      <c r="D228" t="s">
        <v>191</v>
      </c>
      <c r="E228" t="s">
        <v>206</v>
      </c>
      <c r="F228">
        <v>22</v>
      </c>
      <c r="G228">
        <v>90000</v>
      </c>
      <c r="H228" t="s">
        <v>230</v>
      </c>
      <c r="P228">
        <v>10227</v>
      </c>
      <c r="Q228" t="str">
        <f t="shared" si="18"/>
        <v>Nana Williams</v>
      </c>
      <c r="R228" t="str">
        <f>_xlfn.XLOOKUP(C228,$AB$2:$AB$5,$AC$2:$AC$5,PROPER(TRIM(C228)))</f>
        <v>Ghana</v>
      </c>
      <c r="S228" t="str">
        <f t="shared" si="19"/>
        <v>Finance</v>
      </c>
      <c r="T228" t="str">
        <f t="shared" si="20"/>
        <v>Tema</v>
      </c>
      <c r="U228" t="str">
        <f t="shared" si="21"/>
        <v>22</v>
      </c>
      <c r="V228">
        <f t="shared" si="22"/>
        <v>90000</v>
      </c>
      <c r="W228" t="str">
        <f t="shared" si="23"/>
        <v>Full-Time</v>
      </c>
    </row>
    <row r="229" spans="1:23" x14ac:dyDescent="0.3">
      <c r="A229">
        <v>10228</v>
      </c>
      <c r="B229" t="s">
        <v>84</v>
      </c>
      <c r="C229" t="s">
        <v>173</v>
      </c>
      <c r="D229" t="s">
        <v>195</v>
      </c>
      <c r="E229" t="s">
        <v>207</v>
      </c>
      <c r="F229">
        <v>44</v>
      </c>
      <c r="G229">
        <v>65000</v>
      </c>
      <c r="H229" t="s">
        <v>227</v>
      </c>
      <c r="P229">
        <v>10228</v>
      </c>
      <c r="Q229" t="str">
        <f t="shared" si="18"/>
        <v>Daniel Owusu</v>
      </c>
      <c r="R229" t="str">
        <f>_xlfn.XLOOKUP(C229,$AB$2:$AB$5,$AC$2:$AC$5,PROPER(TRIM(C229)))</f>
        <v>South Africa</v>
      </c>
      <c r="S229" t="str">
        <f t="shared" si="19"/>
        <v>Sales</v>
      </c>
      <c r="T229" t="str">
        <f t="shared" si="20"/>
        <v>Accra</v>
      </c>
      <c r="U229" t="str">
        <f t="shared" si="21"/>
        <v>44</v>
      </c>
      <c r="V229">
        <f t="shared" si="22"/>
        <v>65000</v>
      </c>
      <c r="W229" t="str">
        <f t="shared" si="23"/>
        <v>Part-Time</v>
      </c>
    </row>
    <row r="230" spans="1:23" x14ac:dyDescent="0.3">
      <c r="A230">
        <v>10229</v>
      </c>
      <c r="B230" t="s">
        <v>16</v>
      </c>
      <c r="C230" t="s">
        <v>177</v>
      </c>
      <c r="D230" t="s">
        <v>191</v>
      </c>
      <c r="E230" t="s">
        <v>207</v>
      </c>
      <c r="F230">
        <v>48</v>
      </c>
      <c r="G230" t="s">
        <v>222</v>
      </c>
      <c r="H230" t="s">
        <v>225</v>
      </c>
      <c r="P230">
        <v>10229</v>
      </c>
      <c r="Q230" t="str">
        <f t="shared" si="18"/>
        <v>Fatima Kamau</v>
      </c>
      <c r="R230" t="str">
        <f>_xlfn.XLOOKUP(C230,$AB$2:$AB$5,$AC$2:$AC$5,PROPER(TRIM(C230)))</f>
        <v>South Africa</v>
      </c>
      <c r="S230" t="str">
        <f t="shared" si="19"/>
        <v>Finance</v>
      </c>
      <c r="T230" t="str">
        <f t="shared" si="20"/>
        <v>Accra</v>
      </c>
      <c r="U230" t="str">
        <f t="shared" si="21"/>
        <v>48</v>
      </c>
      <c r="V230" t="e">
        <f t="shared" si="22"/>
        <v>#VALUE!</v>
      </c>
      <c r="W230" t="str">
        <f t="shared" si="23"/>
        <v>Intern</v>
      </c>
    </row>
    <row r="231" spans="1:23" x14ac:dyDescent="0.3">
      <c r="A231">
        <v>10230</v>
      </c>
      <c r="B231" t="s">
        <v>159</v>
      </c>
      <c r="C231" t="s">
        <v>180</v>
      </c>
      <c r="D231" t="s">
        <v>190</v>
      </c>
      <c r="E231" t="s">
        <v>208</v>
      </c>
      <c r="F231">
        <v>48</v>
      </c>
      <c r="G231">
        <v>50000</v>
      </c>
      <c r="H231" t="s">
        <v>225</v>
      </c>
      <c r="P231">
        <v>10230</v>
      </c>
      <c r="Q231" t="str">
        <f t="shared" si="18"/>
        <v>James Owusu</v>
      </c>
      <c r="R231" t="str">
        <f>_xlfn.XLOOKUP(C231,$AB$2:$AB$5,$AC$2:$AC$5,PROPER(TRIM(C231)))</f>
        <v>Ghana</v>
      </c>
      <c r="S231" t="str">
        <f t="shared" si="19"/>
        <v>Hr</v>
      </c>
      <c r="T231" t="str">
        <f t="shared" si="20"/>
        <v>Kumasi</v>
      </c>
      <c r="U231" t="str">
        <f t="shared" si="21"/>
        <v>48</v>
      </c>
      <c r="V231">
        <f t="shared" si="22"/>
        <v>50000</v>
      </c>
      <c r="W231" t="str">
        <f t="shared" si="23"/>
        <v>Intern</v>
      </c>
    </row>
    <row r="232" spans="1:23" x14ac:dyDescent="0.3">
      <c r="A232">
        <v>10231</v>
      </c>
      <c r="B232" t="s">
        <v>160</v>
      </c>
      <c r="C232" t="s">
        <v>182</v>
      </c>
      <c r="D232" t="s">
        <v>191</v>
      </c>
      <c r="E232" t="s">
        <v>211</v>
      </c>
      <c r="G232">
        <v>45000</v>
      </c>
      <c r="H232" t="s">
        <v>227</v>
      </c>
      <c r="P232">
        <v>10231</v>
      </c>
      <c r="Q232" t="str">
        <f t="shared" si="18"/>
        <v>David Johnson</v>
      </c>
      <c r="R232" t="str">
        <f>_xlfn.XLOOKUP(C232,$AB$2:$AB$5,$AC$2:$AC$5,PROPER(TRIM(C232)))</f>
        <v>South Africa</v>
      </c>
      <c r="S232" t="str">
        <f t="shared" si="19"/>
        <v>Finance</v>
      </c>
      <c r="T232" t="str">
        <f t="shared" si="20"/>
        <v>Lagos</v>
      </c>
      <c r="U232" t="str">
        <f t="shared" si="21"/>
        <v/>
      </c>
      <c r="V232">
        <f t="shared" si="22"/>
        <v>45000</v>
      </c>
      <c r="W232" t="str">
        <f t="shared" si="23"/>
        <v>Part-Time</v>
      </c>
    </row>
    <row r="233" spans="1:23" x14ac:dyDescent="0.3">
      <c r="A233">
        <v>10232</v>
      </c>
      <c r="B233" t="s">
        <v>161</v>
      </c>
      <c r="C233" t="s">
        <v>178</v>
      </c>
      <c r="D233" t="s">
        <v>193</v>
      </c>
      <c r="E233" t="s">
        <v>205</v>
      </c>
      <c r="F233">
        <v>21</v>
      </c>
      <c r="G233">
        <v>65000</v>
      </c>
      <c r="H233" t="s">
        <v>225</v>
      </c>
      <c r="P233">
        <v>10232</v>
      </c>
      <c r="Q233" t="str">
        <f t="shared" si="18"/>
        <v>Emma Williams</v>
      </c>
      <c r="R233" t="str">
        <f>_xlfn.XLOOKUP(C233,$AB$2:$AB$5,$AC$2:$AC$5,PROPER(TRIM(C233)))</f>
        <v>Kenya</v>
      </c>
      <c r="S233" t="str">
        <f t="shared" si="19"/>
        <v>Operations</v>
      </c>
      <c r="T233" t="str">
        <f t="shared" si="20"/>
        <v>Tema</v>
      </c>
      <c r="U233" t="str">
        <f t="shared" si="21"/>
        <v>21</v>
      </c>
      <c r="V233">
        <f t="shared" si="22"/>
        <v>65000</v>
      </c>
      <c r="W233" t="str">
        <f t="shared" si="23"/>
        <v>Intern</v>
      </c>
    </row>
    <row r="234" spans="1:23" x14ac:dyDescent="0.3">
      <c r="A234">
        <v>10233</v>
      </c>
      <c r="B234" t="s">
        <v>162</v>
      </c>
      <c r="C234" t="s">
        <v>181</v>
      </c>
      <c r="D234" t="s">
        <v>192</v>
      </c>
      <c r="E234" t="s">
        <v>203</v>
      </c>
      <c r="F234">
        <v>49</v>
      </c>
      <c r="G234">
        <v>35000</v>
      </c>
      <c r="H234" t="s">
        <v>229</v>
      </c>
      <c r="P234">
        <v>10233</v>
      </c>
      <c r="Q234" t="str">
        <f t="shared" si="18"/>
        <v>Linda Mensah</v>
      </c>
      <c r="R234" t="str">
        <f>_xlfn.XLOOKUP(C234,$AB$2:$AB$5,$AC$2:$AC$5,PROPER(TRIM(C234)))</f>
        <v>Nigeria</v>
      </c>
      <c r="S234" t="str">
        <f t="shared" si="19"/>
        <v>Marketing</v>
      </c>
      <c r="T234" t="str">
        <f t="shared" si="20"/>
        <v>Accra</v>
      </c>
      <c r="U234" t="str">
        <f t="shared" si="21"/>
        <v>49</v>
      </c>
      <c r="V234">
        <f t="shared" si="22"/>
        <v>35000</v>
      </c>
      <c r="W234" t="str">
        <f t="shared" si="23"/>
        <v>Contract</v>
      </c>
    </row>
    <row r="235" spans="1:23" x14ac:dyDescent="0.3">
      <c r="A235">
        <v>10234</v>
      </c>
      <c r="B235" t="s">
        <v>163</v>
      </c>
      <c r="C235" t="s">
        <v>174</v>
      </c>
      <c r="D235" t="s">
        <v>189</v>
      </c>
      <c r="E235" t="s">
        <v>210</v>
      </c>
      <c r="F235">
        <v>52</v>
      </c>
      <c r="G235">
        <v>55000</v>
      </c>
      <c r="H235" t="s">
        <v>230</v>
      </c>
      <c r="P235">
        <v>10234</v>
      </c>
      <c r="Q235" t="str">
        <f t="shared" si="18"/>
        <v>James Williams</v>
      </c>
      <c r="R235" t="str">
        <f>_xlfn.XLOOKUP(C235,$AB$2:$AB$5,$AC$2:$AC$5,PROPER(TRIM(C235)))</f>
        <v>Kenya</v>
      </c>
      <c r="S235" t="str">
        <f t="shared" si="19"/>
        <v>Operations</v>
      </c>
      <c r="T235" t="str">
        <f t="shared" si="20"/>
        <v>Nairobi</v>
      </c>
      <c r="U235" t="str">
        <f t="shared" si="21"/>
        <v>52</v>
      </c>
      <c r="V235">
        <f t="shared" si="22"/>
        <v>55000</v>
      </c>
      <c r="W235" t="str">
        <f t="shared" si="23"/>
        <v>Full-Time</v>
      </c>
    </row>
    <row r="236" spans="1:23" x14ac:dyDescent="0.3">
      <c r="A236">
        <v>10235</v>
      </c>
      <c r="B236" t="s">
        <v>125</v>
      </c>
      <c r="C236" t="s">
        <v>184</v>
      </c>
      <c r="D236" t="s">
        <v>194</v>
      </c>
      <c r="E236" t="s">
        <v>210</v>
      </c>
      <c r="F236">
        <v>36</v>
      </c>
      <c r="G236">
        <v>70000</v>
      </c>
      <c r="H236" t="s">
        <v>229</v>
      </c>
      <c r="P236">
        <v>10235</v>
      </c>
      <c r="Q236" t="str">
        <f t="shared" si="18"/>
        <v>Samuel Williams</v>
      </c>
      <c r="R236" t="str">
        <f>_xlfn.XLOOKUP(C236,$AB$2:$AB$5,$AC$2:$AC$5,PROPER(TRIM(C236)))</f>
        <v>Ghana</v>
      </c>
      <c r="S236" t="str">
        <f t="shared" si="19"/>
        <v>Finance</v>
      </c>
      <c r="T236" t="str">
        <f t="shared" si="20"/>
        <v>Nairobi</v>
      </c>
      <c r="U236" t="str">
        <f t="shared" si="21"/>
        <v>36</v>
      </c>
      <c r="V236">
        <f t="shared" si="22"/>
        <v>70000</v>
      </c>
      <c r="W236" t="str">
        <f t="shared" si="23"/>
        <v>Contract</v>
      </c>
    </row>
    <row r="237" spans="1:23" x14ac:dyDescent="0.3">
      <c r="A237">
        <v>10236</v>
      </c>
      <c r="B237" t="s">
        <v>163</v>
      </c>
      <c r="C237" t="s">
        <v>176</v>
      </c>
      <c r="D237" t="s">
        <v>193</v>
      </c>
      <c r="E237" t="s">
        <v>202</v>
      </c>
      <c r="F237">
        <v>52</v>
      </c>
      <c r="G237">
        <v>80000</v>
      </c>
      <c r="H237" t="s">
        <v>225</v>
      </c>
      <c r="P237">
        <v>10236</v>
      </c>
      <c r="Q237" t="str">
        <f t="shared" si="18"/>
        <v>James Williams</v>
      </c>
      <c r="R237" t="str">
        <f>_xlfn.XLOOKUP(C237,$AB$2:$AB$5,$AC$2:$AC$5,PROPER(TRIM(C237)))</f>
        <v>Nigeria</v>
      </c>
      <c r="S237" t="str">
        <f t="shared" si="19"/>
        <v>Operations</v>
      </c>
      <c r="T237" t="str">
        <f t="shared" si="20"/>
        <v>Kumasi</v>
      </c>
      <c r="U237" t="str">
        <f t="shared" si="21"/>
        <v>52</v>
      </c>
      <c r="V237">
        <f t="shared" si="22"/>
        <v>80000</v>
      </c>
      <c r="W237" t="str">
        <f t="shared" si="23"/>
        <v>Intern</v>
      </c>
    </row>
    <row r="238" spans="1:23" x14ac:dyDescent="0.3">
      <c r="A238">
        <v>10237</v>
      </c>
      <c r="B238" t="s">
        <v>164</v>
      </c>
      <c r="C238" t="s">
        <v>186</v>
      </c>
      <c r="D238" t="s">
        <v>198</v>
      </c>
      <c r="E238" t="s">
        <v>207</v>
      </c>
      <c r="F238">
        <v>60</v>
      </c>
      <c r="G238">
        <v>30000</v>
      </c>
      <c r="H238" t="s">
        <v>228</v>
      </c>
      <c r="P238">
        <v>10237</v>
      </c>
      <c r="Q238" t="str">
        <f t="shared" si="18"/>
        <v>Fatima Mensah</v>
      </c>
      <c r="R238" t="str">
        <f>_xlfn.XLOOKUP(C238,$AB$2:$AB$5,$AC$2:$AC$5,PROPER(TRIM(C238)))</f>
        <v>Ghana</v>
      </c>
      <c r="S238" t="str">
        <f t="shared" si="19"/>
        <v>Sales</v>
      </c>
      <c r="T238" t="str">
        <f t="shared" si="20"/>
        <v>Accra</v>
      </c>
      <c r="U238" t="str">
        <f t="shared" si="21"/>
        <v>60</v>
      </c>
      <c r="V238">
        <f t="shared" si="22"/>
        <v>30000</v>
      </c>
      <c r="W238" t="str">
        <f t="shared" si="23"/>
        <v>Part-Time</v>
      </c>
    </row>
    <row r="239" spans="1:23" x14ac:dyDescent="0.3">
      <c r="A239">
        <v>10238</v>
      </c>
      <c r="B239" t="s">
        <v>103</v>
      </c>
      <c r="C239" t="s">
        <v>176</v>
      </c>
      <c r="D239" t="s">
        <v>190</v>
      </c>
      <c r="E239" t="s">
        <v>203</v>
      </c>
      <c r="F239">
        <v>57</v>
      </c>
      <c r="G239">
        <v>60000</v>
      </c>
      <c r="H239" t="s">
        <v>224</v>
      </c>
      <c r="P239">
        <v>10238</v>
      </c>
      <c r="Q239" t="str">
        <f t="shared" si="18"/>
        <v>Nana Adams</v>
      </c>
      <c r="R239" t="str">
        <f>_xlfn.XLOOKUP(C239,$AB$2:$AB$5,$AC$2:$AC$5,PROPER(TRIM(C239)))</f>
        <v>Nigeria</v>
      </c>
      <c r="S239" t="str">
        <f t="shared" si="19"/>
        <v>Hr</v>
      </c>
      <c r="T239" t="str">
        <f t="shared" si="20"/>
        <v>Accra</v>
      </c>
      <c r="U239" t="str">
        <f t="shared" si="21"/>
        <v>57</v>
      </c>
      <c r="V239">
        <f t="shared" si="22"/>
        <v>60000</v>
      </c>
      <c r="W239" t="str">
        <f t="shared" si="23"/>
        <v>Full-Time</v>
      </c>
    </row>
    <row r="240" spans="1:23" x14ac:dyDescent="0.3">
      <c r="A240">
        <v>10239</v>
      </c>
      <c r="B240" t="s">
        <v>165</v>
      </c>
      <c r="C240" t="s">
        <v>186</v>
      </c>
      <c r="D240" t="s">
        <v>188</v>
      </c>
      <c r="E240" t="s">
        <v>204</v>
      </c>
      <c r="F240">
        <v>59</v>
      </c>
      <c r="G240">
        <v>90000</v>
      </c>
      <c r="H240" t="s">
        <v>228</v>
      </c>
      <c r="P240">
        <v>10239</v>
      </c>
      <c r="Q240" t="str">
        <f t="shared" si="18"/>
        <v>Peter Adams</v>
      </c>
      <c r="R240" t="str">
        <f>_xlfn.XLOOKUP(C240,$AB$2:$AB$5,$AC$2:$AC$5,PROPER(TRIM(C240)))</f>
        <v>Ghana</v>
      </c>
      <c r="S240" t="str">
        <f t="shared" si="19"/>
        <v>Sales</v>
      </c>
      <c r="T240" t="str">
        <f t="shared" si="20"/>
        <v>Nairobi</v>
      </c>
      <c r="U240" t="str">
        <f t="shared" si="21"/>
        <v>59</v>
      </c>
      <c r="V240">
        <f t="shared" si="22"/>
        <v>90000</v>
      </c>
      <c r="W240" t="str">
        <f t="shared" si="23"/>
        <v>Part-Time</v>
      </c>
    </row>
    <row r="241" spans="1:23" x14ac:dyDescent="0.3">
      <c r="A241">
        <v>10240</v>
      </c>
      <c r="B241" t="s">
        <v>10</v>
      </c>
      <c r="C241" t="s">
        <v>178</v>
      </c>
      <c r="D241" t="s">
        <v>196</v>
      </c>
      <c r="E241" t="s">
        <v>210</v>
      </c>
      <c r="F241">
        <v>58</v>
      </c>
      <c r="G241">
        <v>70000</v>
      </c>
      <c r="H241" t="s">
        <v>224</v>
      </c>
      <c r="P241">
        <v>10240</v>
      </c>
      <c r="Q241" t="str">
        <f t="shared" si="18"/>
        <v>David Williams</v>
      </c>
      <c r="R241" t="str">
        <f>_xlfn.XLOOKUP(C241,$AB$2:$AB$5,$AC$2:$AC$5,PROPER(TRIM(C241)))</f>
        <v>Kenya</v>
      </c>
      <c r="S241" t="str">
        <f t="shared" si="19"/>
        <v>Hr</v>
      </c>
      <c r="T241" t="str">
        <f t="shared" si="20"/>
        <v>Nairobi</v>
      </c>
      <c r="U241" t="str">
        <f t="shared" si="21"/>
        <v>58</v>
      </c>
      <c r="V241">
        <f t="shared" si="22"/>
        <v>70000</v>
      </c>
      <c r="W241" t="str">
        <f t="shared" si="23"/>
        <v>Full-Time</v>
      </c>
    </row>
    <row r="242" spans="1:23" x14ac:dyDescent="0.3">
      <c r="A242">
        <v>10241</v>
      </c>
      <c r="B242" t="s">
        <v>166</v>
      </c>
      <c r="C242" t="s">
        <v>181</v>
      </c>
      <c r="D242" t="s">
        <v>188</v>
      </c>
      <c r="E242" t="s">
        <v>201</v>
      </c>
      <c r="F242">
        <v>39</v>
      </c>
      <c r="G242">
        <v>90000</v>
      </c>
      <c r="H242" t="s">
        <v>231</v>
      </c>
      <c r="P242">
        <v>10241</v>
      </c>
      <c r="Q242" t="str">
        <f t="shared" si="18"/>
        <v>Brian Kamau</v>
      </c>
      <c r="R242" t="str">
        <f>_xlfn.XLOOKUP(C242,$AB$2:$AB$5,$AC$2:$AC$5,PROPER(TRIM(C242)))</f>
        <v>Nigeria</v>
      </c>
      <c r="S242" t="str">
        <f t="shared" si="19"/>
        <v>Sales</v>
      </c>
      <c r="T242" t="str">
        <f t="shared" si="20"/>
        <v>Johannesburg</v>
      </c>
      <c r="U242" t="str">
        <f t="shared" si="21"/>
        <v>39</v>
      </c>
      <c r="V242">
        <f t="shared" si="22"/>
        <v>90000</v>
      </c>
      <c r="W242" t="str">
        <f t="shared" si="23"/>
        <v>Contract</v>
      </c>
    </row>
    <row r="243" spans="1:23" x14ac:dyDescent="0.3">
      <c r="A243">
        <v>10242</v>
      </c>
      <c r="B243" t="s">
        <v>8</v>
      </c>
      <c r="C243" t="s">
        <v>180</v>
      </c>
      <c r="D243" t="s">
        <v>196</v>
      </c>
      <c r="E243" t="s">
        <v>204</v>
      </c>
      <c r="F243">
        <v>41</v>
      </c>
      <c r="G243">
        <v>80000</v>
      </c>
      <c r="H243" t="s">
        <v>231</v>
      </c>
      <c r="P243">
        <v>10242</v>
      </c>
      <c r="Q243" t="str">
        <f t="shared" si="18"/>
        <v>Grace Johnson</v>
      </c>
      <c r="R243" t="str">
        <f>_xlfn.XLOOKUP(C243,$AB$2:$AB$5,$AC$2:$AC$5,PROPER(TRIM(C243)))</f>
        <v>Ghana</v>
      </c>
      <c r="S243" t="str">
        <f t="shared" si="19"/>
        <v>Hr</v>
      </c>
      <c r="T243" t="str">
        <f t="shared" si="20"/>
        <v>Nairobi</v>
      </c>
      <c r="U243" t="str">
        <f t="shared" si="21"/>
        <v>41</v>
      </c>
      <c r="V243">
        <f t="shared" si="22"/>
        <v>80000</v>
      </c>
      <c r="W243" t="str">
        <f t="shared" si="23"/>
        <v>Contract</v>
      </c>
    </row>
    <row r="244" spans="1:23" x14ac:dyDescent="0.3">
      <c r="A244">
        <v>10243</v>
      </c>
      <c r="B244" t="s">
        <v>49</v>
      </c>
      <c r="C244" t="s">
        <v>177</v>
      </c>
      <c r="D244" t="s">
        <v>197</v>
      </c>
      <c r="E244" t="s">
        <v>209</v>
      </c>
      <c r="F244">
        <v>37</v>
      </c>
      <c r="H244" t="s">
        <v>227</v>
      </c>
      <c r="P244">
        <v>10243</v>
      </c>
      <c r="Q244" t="str">
        <f t="shared" si="18"/>
        <v>David Miller</v>
      </c>
      <c r="R244" t="str">
        <f>_xlfn.XLOOKUP(C244,$AB$2:$AB$5,$AC$2:$AC$5,PROPER(TRIM(C244)))</f>
        <v>South Africa</v>
      </c>
      <c r="S244" t="str">
        <f t="shared" si="19"/>
        <v>It</v>
      </c>
      <c r="T244" t="str">
        <f t="shared" si="20"/>
        <v>Johannesburg</v>
      </c>
      <c r="U244" t="str">
        <f t="shared" si="21"/>
        <v>37</v>
      </c>
      <c r="V244" t="str">
        <f t="shared" si="22"/>
        <v/>
      </c>
      <c r="W244" t="str">
        <f t="shared" si="23"/>
        <v>Part-Time</v>
      </c>
    </row>
    <row r="245" spans="1:23" x14ac:dyDescent="0.3">
      <c r="A245">
        <v>10244</v>
      </c>
      <c r="B245" t="s">
        <v>101</v>
      </c>
      <c r="C245" t="s">
        <v>173</v>
      </c>
      <c r="D245" t="s">
        <v>195</v>
      </c>
      <c r="E245" t="s">
        <v>204</v>
      </c>
      <c r="F245">
        <v>38</v>
      </c>
      <c r="G245">
        <v>60000</v>
      </c>
      <c r="H245" t="s">
        <v>229</v>
      </c>
      <c r="P245">
        <v>10244</v>
      </c>
      <c r="Q245" t="str">
        <f t="shared" si="18"/>
        <v>Brian Miller</v>
      </c>
      <c r="R245" t="str">
        <f>_xlfn.XLOOKUP(C245,$AB$2:$AB$5,$AC$2:$AC$5,PROPER(TRIM(C245)))</f>
        <v>South Africa</v>
      </c>
      <c r="S245" t="str">
        <f t="shared" si="19"/>
        <v>Sales</v>
      </c>
      <c r="T245" t="str">
        <f t="shared" si="20"/>
        <v>Nairobi</v>
      </c>
      <c r="U245" t="str">
        <f t="shared" si="21"/>
        <v>38</v>
      </c>
      <c r="V245">
        <f t="shared" si="22"/>
        <v>60000</v>
      </c>
      <c r="W245" t="str">
        <f t="shared" si="23"/>
        <v>Contract</v>
      </c>
    </row>
    <row r="246" spans="1:23" x14ac:dyDescent="0.3">
      <c r="A246">
        <v>10245</v>
      </c>
      <c r="B246" t="s">
        <v>105</v>
      </c>
      <c r="C246" t="s">
        <v>173</v>
      </c>
      <c r="D246" t="s">
        <v>190</v>
      </c>
      <c r="E246" t="s">
        <v>206</v>
      </c>
      <c r="F246">
        <v>51</v>
      </c>
      <c r="G246">
        <v>40000</v>
      </c>
      <c r="H246" t="s">
        <v>227</v>
      </c>
      <c r="P246">
        <v>10245</v>
      </c>
      <c r="Q246" t="str">
        <f t="shared" si="18"/>
        <v>Michael Kamau</v>
      </c>
      <c r="R246" t="str">
        <f>_xlfn.XLOOKUP(C246,$AB$2:$AB$5,$AC$2:$AC$5,PROPER(TRIM(C246)))</f>
        <v>South Africa</v>
      </c>
      <c r="S246" t="str">
        <f t="shared" si="19"/>
        <v>Hr</v>
      </c>
      <c r="T246" t="str">
        <f t="shared" si="20"/>
        <v>Tema</v>
      </c>
      <c r="U246" t="str">
        <f t="shared" si="21"/>
        <v>51</v>
      </c>
      <c r="V246">
        <f t="shared" si="22"/>
        <v>40000</v>
      </c>
      <c r="W246" t="str">
        <f t="shared" si="23"/>
        <v>Part-Time</v>
      </c>
    </row>
    <row r="247" spans="1:23" x14ac:dyDescent="0.3">
      <c r="A247">
        <v>10246</v>
      </c>
      <c r="B247" t="s">
        <v>51</v>
      </c>
      <c r="C247" t="s">
        <v>186</v>
      </c>
      <c r="D247" t="s">
        <v>195</v>
      </c>
      <c r="E247" t="s">
        <v>205</v>
      </c>
      <c r="F247">
        <v>56</v>
      </c>
      <c r="G247">
        <v>65000</v>
      </c>
      <c r="H247" t="s">
        <v>230</v>
      </c>
      <c r="P247">
        <v>10246</v>
      </c>
      <c r="Q247" t="str">
        <f t="shared" si="18"/>
        <v>Fatima Williams</v>
      </c>
      <c r="R247" t="str">
        <f>_xlfn.XLOOKUP(C247,$AB$2:$AB$5,$AC$2:$AC$5,PROPER(TRIM(C247)))</f>
        <v>Ghana</v>
      </c>
      <c r="S247" t="str">
        <f t="shared" si="19"/>
        <v>Sales</v>
      </c>
      <c r="T247" t="str">
        <f t="shared" si="20"/>
        <v>Tema</v>
      </c>
      <c r="U247" t="str">
        <f t="shared" si="21"/>
        <v>56</v>
      </c>
      <c r="V247">
        <f t="shared" si="22"/>
        <v>65000</v>
      </c>
      <c r="W247" t="str">
        <f t="shared" si="23"/>
        <v>Full-Time</v>
      </c>
    </row>
    <row r="248" spans="1:23" x14ac:dyDescent="0.3">
      <c r="A248">
        <v>10247</v>
      </c>
      <c r="B248" t="s">
        <v>167</v>
      </c>
      <c r="C248" t="s">
        <v>184</v>
      </c>
      <c r="D248" t="s">
        <v>195</v>
      </c>
      <c r="E248" t="s">
        <v>205</v>
      </c>
      <c r="F248">
        <v>34</v>
      </c>
      <c r="G248">
        <v>30000</v>
      </c>
      <c r="H248" t="s">
        <v>231</v>
      </c>
      <c r="P248">
        <v>10247</v>
      </c>
      <c r="Q248" t="str">
        <f t="shared" si="18"/>
        <v>David Adams</v>
      </c>
      <c r="R248" t="str">
        <f>_xlfn.XLOOKUP(C248,$AB$2:$AB$5,$AC$2:$AC$5,PROPER(TRIM(C248)))</f>
        <v>Ghana</v>
      </c>
      <c r="S248" t="str">
        <f t="shared" si="19"/>
        <v>Sales</v>
      </c>
      <c r="T248" t="str">
        <f t="shared" si="20"/>
        <v>Tema</v>
      </c>
      <c r="U248" t="str">
        <f t="shared" si="21"/>
        <v>34</v>
      </c>
      <c r="V248">
        <f t="shared" si="22"/>
        <v>30000</v>
      </c>
      <c r="W248" t="str">
        <f t="shared" si="23"/>
        <v>Contract</v>
      </c>
    </row>
    <row r="249" spans="1:23" x14ac:dyDescent="0.3">
      <c r="A249">
        <v>10248</v>
      </c>
      <c r="B249" t="s">
        <v>75</v>
      </c>
      <c r="C249" t="s">
        <v>182</v>
      </c>
      <c r="D249" t="s">
        <v>192</v>
      </c>
      <c r="E249" t="s">
        <v>204</v>
      </c>
      <c r="F249">
        <v>43</v>
      </c>
      <c r="G249">
        <v>45000</v>
      </c>
      <c r="H249" t="s">
        <v>228</v>
      </c>
      <c r="P249">
        <v>10248</v>
      </c>
      <c r="Q249" t="str">
        <f t="shared" si="18"/>
        <v>Brian Mensah</v>
      </c>
      <c r="R249" t="str">
        <f>_xlfn.XLOOKUP(C249,$AB$2:$AB$5,$AC$2:$AC$5,PROPER(TRIM(C249)))</f>
        <v>South Africa</v>
      </c>
      <c r="S249" t="str">
        <f t="shared" si="19"/>
        <v>Marketing</v>
      </c>
      <c r="T249" t="str">
        <f t="shared" si="20"/>
        <v>Nairobi</v>
      </c>
      <c r="U249" t="str">
        <f t="shared" si="21"/>
        <v>43</v>
      </c>
      <c r="V249">
        <f t="shared" si="22"/>
        <v>45000</v>
      </c>
      <c r="W249" t="str">
        <f t="shared" si="23"/>
        <v>Part-Time</v>
      </c>
    </row>
    <row r="250" spans="1:23" x14ac:dyDescent="0.3">
      <c r="A250">
        <v>10249</v>
      </c>
      <c r="B250" t="s">
        <v>118</v>
      </c>
      <c r="C250" t="s">
        <v>177</v>
      </c>
      <c r="D250" t="s">
        <v>194</v>
      </c>
      <c r="E250" t="s">
        <v>203</v>
      </c>
      <c r="F250">
        <v>51</v>
      </c>
      <c r="G250">
        <v>70000</v>
      </c>
      <c r="H250" t="s">
        <v>227</v>
      </c>
      <c r="P250">
        <v>10249</v>
      </c>
      <c r="Q250" t="str">
        <f t="shared" si="18"/>
        <v>Michael Johnson</v>
      </c>
      <c r="R250" t="str">
        <f>_xlfn.XLOOKUP(C250,$AB$2:$AB$5,$AC$2:$AC$5,PROPER(TRIM(C250)))</f>
        <v>South Africa</v>
      </c>
      <c r="S250" t="str">
        <f t="shared" si="19"/>
        <v>Finance</v>
      </c>
      <c r="T250" t="str">
        <f t="shared" si="20"/>
        <v>Accra</v>
      </c>
      <c r="U250" t="str">
        <f t="shared" si="21"/>
        <v>51</v>
      </c>
      <c r="V250">
        <f t="shared" si="22"/>
        <v>70000</v>
      </c>
      <c r="W250" t="str">
        <f t="shared" si="23"/>
        <v>Part-Time</v>
      </c>
    </row>
    <row r="251" spans="1:23" x14ac:dyDescent="0.3">
      <c r="A251">
        <v>10250</v>
      </c>
      <c r="B251" t="s">
        <v>91</v>
      </c>
      <c r="C251" t="s">
        <v>186</v>
      </c>
      <c r="D251" t="s">
        <v>188</v>
      </c>
      <c r="E251" t="s">
        <v>202</v>
      </c>
      <c r="F251">
        <v>25</v>
      </c>
      <c r="G251" t="s">
        <v>223</v>
      </c>
      <c r="H251" t="s">
        <v>224</v>
      </c>
      <c r="P251">
        <v>10250</v>
      </c>
      <c r="Q251" t="str">
        <f t="shared" si="18"/>
        <v>Sarah Johnson</v>
      </c>
      <c r="R251" t="str">
        <f>_xlfn.XLOOKUP(C251,$AB$2:$AB$5,$AC$2:$AC$5,PROPER(TRIM(C251)))</f>
        <v>Ghana</v>
      </c>
      <c r="S251" t="str">
        <f t="shared" si="19"/>
        <v>Sales</v>
      </c>
      <c r="T251" t="str">
        <f t="shared" si="20"/>
        <v>Kumasi</v>
      </c>
      <c r="U251" t="str">
        <f t="shared" si="21"/>
        <v>25</v>
      </c>
      <c r="V251">
        <f t="shared" si="22"/>
        <v>60000</v>
      </c>
      <c r="W251" t="str">
        <f t="shared" si="23"/>
        <v>Full-Time</v>
      </c>
    </row>
    <row r="252" spans="1:23" x14ac:dyDescent="0.3">
      <c r="A252">
        <v>10134</v>
      </c>
      <c r="B252" t="s">
        <v>168</v>
      </c>
      <c r="C252" t="s">
        <v>175</v>
      </c>
      <c r="D252" t="s">
        <v>193</v>
      </c>
      <c r="E252" t="s">
        <v>208</v>
      </c>
      <c r="F252">
        <v>40</v>
      </c>
      <c r="G252" t="s">
        <v>219</v>
      </c>
      <c r="H252" t="s">
        <v>228</v>
      </c>
      <c r="P252">
        <v>10134</v>
      </c>
      <c r="Q252" t="str">
        <f t="shared" si="18"/>
        <v>Samuel Miller</v>
      </c>
      <c r="R252" t="str">
        <f>_xlfn.XLOOKUP(C252,$AB$2:$AB$5,$AC$2:$AC$5,PROPER(TRIM(C252)))</f>
        <v>Ghana</v>
      </c>
      <c r="S252" t="str">
        <f t="shared" si="19"/>
        <v>Operations</v>
      </c>
      <c r="T252" t="str">
        <f t="shared" si="20"/>
        <v>Kumasi</v>
      </c>
      <c r="U252" t="str">
        <f t="shared" si="21"/>
        <v>40</v>
      </c>
      <c r="V252">
        <f t="shared" si="22"/>
        <v>50000</v>
      </c>
      <c r="W252" t="str">
        <f t="shared" si="23"/>
        <v>Part-Time</v>
      </c>
    </row>
    <row r="253" spans="1:23" x14ac:dyDescent="0.3">
      <c r="A253">
        <v>10208</v>
      </c>
      <c r="B253" t="s">
        <v>169</v>
      </c>
      <c r="C253" t="s">
        <v>178</v>
      </c>
      <c r="D253" t="s">
        <v>188</v>
      </c>
      <c r="E253" t="s">
        <v>201</v>
      </c>
      <c r="F253">
        <v>28</v>
      </c>
      <c r="G253">
        <v>65000</v>
      </c>
      <c r="H253" t="s">
        <v>230</v>
      </c>
      <c r="P253">
        <v>10208</v>
      </c>
      <c r="Q253" t="str">
        <f t="shared" si="18"/>
        <v>Emma Smith</v>
      </c>
      <c r="R253" t="str">
        <f>_xlfn.XLOOKUP(C253,$AB$2:$AB$5,$AC$2:$AC$5,PROPER(TRIM(C253)))</f>
        <v>Kenya</v>
      </c>
      <c r="S253" t="str">
        <f t="shared" si="19"/>
        <v>Sales</v>
      </c>
      <c r="T253" t="str">
        <f t="shared" si="20"/>
        <v>Johannesburg</v>
      </c>
      <c r="U253" t="str">
        <f t="shared" si="21"/>
        <v>28</v>
      </c>
      <c r="V253">
        <f t="shared" si="22"/>
        <v>65000</v>
      </c>
      <c r="W253" t="str">
        <f t="shared" si="23"/>
        <v>Full-Time</v>
      </c>
    </row>
    <row r="254" spans="1:23" x14ac:dyDescent="0.3">
      <c r="A254">
        <v>10162</v>
      </c>
      <c r="B254" t="s">
        <v>170</v>
      </c>
      <c r="C254" t="s">
        <v>173</v>
      </c>
      <c r="D254" t="s">
        <v>194</v>
      </c>
      <c r="E254" t="s">
        <v>207</v>
      </c>
      <c r="F254">
        <v>22</v>
      </c>
      <c r="G254">
        <v>65000</v>
      </c>
      <c r="H254" t="s">
        <v>231</v>
      </c>
      <c r="P254">
        <v>10162</v>
      </c>
      <c r="Q254" t="str">
        <f t="shared" si="18"/>
        <v>Fatima Okafor</v>
      </c>
      <c r="R254" t="str">
        <f>_xlfn.XLOOKUP(C254,$AB$2:$AB$5,$AC$2:$AC$5,PROPER(TRIM(C254)))</f>
        <v>South Africa</v>
      </c>
      <c r="S254" t="str">
        <f t="shared" si="19"/>
        <v>Finance</v>
      </c>
      <c r="T254" t="str">
        <f t="shared" si="20"/>
        <v>Accra</v>
      </c>
      <c r="U254" t="str">
        <f t="shared" si="21"/>
        <v>22</v>
      </c>
      <c r="V254">
        <f t="shared" si="22"/>
        <v>65000</v>
      </c>
      <c r="W254" t="str">
        <f t="shared" si="23"/>
        <v>Contract</v>
      </c>
    </row>
    <row r="255" spans="1:23" x14ac:dyDescent="0.3">
      <c r="A255">
        <v>10025</v>
      </c>
      <c r="B255" t="s">
        <v>171</v>
      </c>
      <c r="C255" t="s">
        <v>185</v>
      </c>
      <c r="D255" t="s">
        <v>198</v>
      </c>
      <c r="E255" t="s">
        <v>204</v>
      </c>
      <c r="F255">
        <v>31</v>
      </c>
      <c r="H255" t="s">
        <v>224</v>
      </c>
      <c r="P255">
        <v>10025</v>
      </c>
      <c r="Q255" t="str">
        <f t="shared" si="18"/>
        <v>Emma Johnson</v>
      </c>
      <c r="R255" t="str">
        <f>_xlfn.XLOOKUP(C255,$AB$2:$AB$5,$AC$2:$AC$5,PROPER(TRIM(C255)))</f>
        <v>Ghana</v>
      </c>
      <c r="S255" t="str">
        <f t="shared" si="19"/>
        <v>Sales</v>
      </c>
      <c r="T255" t="str">
        <f t="shared" si="20"/>
        <v>Nairobi</v>
      </c>
      <c r="U255" t="str">
        <f t="shared" si="21"/>
        <v>31</v>
      </c>
      <c r="V255" t="str">
        <f t="shared" si="22"/>
        <v/>
      </c>
      <c r="W255" t="str">
        <f t="shared" si="23"/>
        <v>Full-Time</v>
      </c>
    </row>
    <row r="256" spans="1:23" x14ac:dyDescent="0.3">
      <c r="A256">
        <v>10058</v>
      </c>
      <c r="B256" t="s">
        <v>172</v>
      </c>
      <c r="C256" t="s">
        <v>182</v>
      </c>
      <c r="D256" t="s">
        <v>196</v>
      </c>
      <c r="E256" t="s">
        <v>210</v>
      </c>
      <c r="F256">
        <v>59</v>
      </c>
      <c r="G256">
        <v>50000</v>
      </c>
      <c r="H256" t="s">
        <v>230</v>
      </c>
      <c r="P256">
        <v>10058</v>
      </c>
      <c r="Q256" t="str">
        <f t="shared" si="18"/>
        <v>John Owusu</v>
      </c>
      <c r="R256" t="str">
        <f>_xlfn.XLOOKUP(C256,$AB$2:$AB$5,$AC$2:$AC$5,PROPER(TRIM(C256)))</f>
        <v>South Africa</v>
      </c>
      <c r="S256" t="str">
        <f t="shared" si="19"/>
        <v>Hr</v>
      </c>
      <c r="T256" t="str">
        <f t="shared" si="20"/>
        <v>Nairobi</v>
      </c>
      <c r="U256" t="str">
        <f t="shared" si="21"/>
        <v>59</v>
      </c>
      <c r="V256">
        <f t="shared" si="22"/>
        <v>50000</v>
      </c>
      <c r="W256" t="str">
        <f t="shared" si="23"/>
        <v>Full-Time</v>
      </c>
    </row>
  </sheetData>
  <conditionalFormatting sqref="X1">
    <cfRule type="iconSet" priority="3">
      <iconSet iconSet="3Flags">
        <cfvo type="percent" val="0"/>
        <cfvo type="percent" val="33"/>
        <cfvo type="percent" val="67"/>
      </iconSet>
    </cfRule>
  </conditionalFormatting>
  <conditionalFormatting sqref="P1:W256">
    <cfRule type="containsBlanks" dxfId="0" priority="4">
      <formula>LEN(TRIM(P1))=0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4"/>
  <sheetViews>
    <sheetView workbookViewId="0">
      <selection activeCell="K15" sqref="K15"/>
    </sheetView>
  </sheetViews>
  <sheetFormatPr defaultRowHeight="14.4" x14ac:dyDescent="0.3"/>
  <cols>
    <col min="1" max="1" width="12.109375" bestFit="1" customWidth="1"/>
    <col min="2" max="2" width="16.21875" bestFit="1" customWidth="1"/>
    <col min="3" max="3" width="10.88671875" bestFit="1" customWidth="1"/>
    <col min="4" max="4" width="11.109375" bestFit="1" customWidth="1"/>
    <col min="7" max="7" width="13.21875" bestFit="1" customWidth="1"/>
    <col min="8" max="8" width="17" bestFit="1" customWidth="1"/>
    <col min="10" max="10" width="13.88671875" bestFit="1" customWidth="1"/>
    <col min="12" max="12" width="15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/>
      <c r="L1" s="3"/>
      <c r="M1" s="4"/>
    </row>
    <row r="2" spans="1:13" x14ac:dyDescent="0.3">
      <c r="A2">
        <v>10001</v>
      </c>
      <c r="B2" t="s">
        <v>8</v>
      </c>
      <c r="C2" t="s">
        <v>173</v>
      </c>
      <c r="D2" t="s">
        <v>187</v>
      </c>
      <c r="E2" t="s">
        <v>200</v>
      </c>
      <c r="F2">
        <v>40</v>
      </c>
      <c r="G2">
        <v>60000</v>
      </c>
      <c r="H2" t="s">
        <v>224</v>
      </c>
    </row>
    <row r="3" spans="1:13" x14ac:dyDescent="0.3">
      <c r="A3">
        <v>10002</v>
      </c>
      <c r="B3" t="s">
        <v>9</v>
      </c>
      <c r="C3" t="s">
        <v>174</v>
      </c>
      <c r="D3" t="s">
        <v>187</v>
      </c>
      <c r="E3" t="s">
        <v>200</v>
      </c>
      <c r="F3">
        <v>55</v>
      </c>
      <c r="G3">
        <v>65000</v>
      </c>
      <c r="H3" t="s">
        <v>225</v>
      </c>
    </row>
    <row r="4" spans="1:13" x14ac:dyDescent="0.3">
      <c r="A4">
        <v>10003</v>
      </c>
      <c r="B4" t="s">
        <v>10</v>
      </c>
      <c r="C4" t="s">
        <v>175</v>
      </c>
      <c r="D4" t="s">
        <v>188</v>
      </c>
      <c r="F4">
        <v>49</v>
      </c>
      <c r="G4">
        <v>55000</v>
      </c>
      <c r="H4" t="s">
        <v>224</v>
      </c>
    </row>
    <row r="5" spans="1:13" x14ac:dyDescent="0.3">
      <c r="A5">
        <v>10004</v>
      </c>
      <c r="B5" t="s">
        <v>11</v>
      </c>
      <c r="C5" t="s">
        <v>176</v>
      </c>
      <c r="D5" t="s">
        <v>189</v>
      </c>
      <c r="E5" t="s">
        <v>201</v>
      </c>
      <c r="F5">
        <v>44</v>
      </c>
      <c r="G5">
        <v>30000</v>
      </c>
      <c r="H5" t="s">
        <v>226</v>
      </c>
    </row>
    <row r="6" spans="1:13" x14ac:dyDescent="0.3">
      <c r="A6">
        <v>10005</v>
      </c>
      <c r="B6" t="s">
        <v>12</v>
      </c>
      <c r="C6" t="s">
        <v>177</v>
      </c>
      <c r="D6" t="s">
        <v>190</v>
      </c>
      <c r="E6" t="s">
        <v>202</v>
      </c>
      <c r="F6">
        <v>22</v>
      </c>
      <c r="G6">
        <v>50000</v>
      </c>
      <c r="H6" t="s">
        <v>226</v>
      </c>
    </row>
    <row r="7" spans="1:13" x14ac:dyDescent="0.3">
      <c r="A7">
        <v>10006</v>
      </c>
      <c r="B7" t="s">
        <v>13</v>
      </c>
      <c r="C7" t="s">
        <v>178</v>
      </c>
      <c r="D7" t="s">
        <v>190</v>
      </c>
      <c r="E7" t="s">
        <v>203</v>
      </c>
      <c r="F7">
        <v>23</v>
      </c>
      <c r="G7">
        <v>70000</v>
      </c>
      <c r="H7" t="s">
        <v>227</v>
      </c>
    </row>
    <row r="8" spans="1:13" x14ac:dyDescent="0.3">
      <c r="A8">
        <v>10007</v>
      </c>
      <c r="B8" t="s">
        <v>14</v>
      </c>
      <c r="C8" t="s">
        <v>179</v>
      </c>
      <c r="D8" t="s">
        <v>191</v>
      </c>
      <c r="E8" t="s">
        <v>204</v>
      </c>
      <c r="G8">
        <v>45000</v>
      </c>
      <c r="H8" t="s">
        <v>227</v>
      </c>
    </row>
    <row r="9" spans="1:13" x14ac:dyDescent="0.3">
      <c r="A9">
        <v>10008</v>
      </c>
      <c r="B9" t="s">
        <v>15</v>
      </c>
      <c r="C9" t="s">
        <v>177</v>
      </c>
      <c r="D9" t="s">
        <v>189</v>
      </c>
      <c r="E9" t="s">
        <v>200</v>
      </c>
      <c r="F9">
        <v>54</v>
      </c>
      <c r="G9">
        <v>30000</v>
      </c>
      <c r="H9" t="s">
        <v>227</v>
      </c>
    </row>
    <row r="10" spans="1:13" x14ac:dyDescent="0.3">
      <c r="A10">
        <v>10009</v>
      </c>
      <c r="B10" t="s">
        <v>16</v>
      </c>
      <c r="C10" t="s">
        <v>180</v>
      </c>
      <c r="D10" t="s">
        <v>188</v>
      </c>
      <c r="E10" t="s">
        <v>205</v>
      </c>
      <c r="F10">
        <v>23</v>
      </c>
      <c r="G10">
        <v>55000</v>
      </c>
      <c r="H10" t="s">
        <v>228</v>
      </c>
    </row>
    <row r="11" spans="1:13" x14ac:dyDescent="0.3">
      <c r="A11">
        <v>10010</v>
      </c>
      <c r="B11" t="s">
        <v>17</v>
      </c>
      <c r="C11" t="s">
        <v>177</v>
      </c>
      <c r="D11" t="s">
        <v>188</v>
      </c>
      <c r="E11" t="s">
        <v>204</v>
      </c>
      <c r="F11">
        <v>55</v>
      </c>
      <c r="G11" t="s">
        <v>212</v>
      </c>
      <c r="H11" t="s">
        <v>229</v>
      </c>
    </row>
    <row r="12" spans="1:13" x14ac:dyDescent="0.3">
      <c r="A12">
        <v>10011</v>
      </c>
      <c r="B12" t="s">
        <v>18</v>
      </c>
      <c r="C12" t="s">
        <v>173</v>
      </c>
      <c r="D12" t="s">
        <v>188</v>
      </c>
      <c r="E12" t="s">
        <v>206</v>
      </c>
      <c r="F12">
        <v>43</v>
      </c>
      <c r="G12">
        <v>80000</v>
      </c>
      <c r="H12" t="s">
        <v>230</v>
      </c>
    </row>
    <row r="13" spans="1:13" x14ac:dyDescent="0.3">
      <c r="A13">
        <v>10012</v>
      </c>
      <c r="B13" t="s">
        <v>19</v>
      </c>
      <c r="C13" t="s">
        <v>173</v>
      </c>
      <c r="D13" t="s">
        <v>189</v>
      </c>
      <c r="E13" t="s">
        <v>207</v>
      </c>
      <c r="F13">
        <v>44</v>
      </c>
      <c r="G13">
        <v>60000</v>
      </c>
      <c r="H13" t="s">
        <v>230</v>
      </c>
    </row>
    <row r="14" spans="1:13" x14ac:dyDescent="0.3">
      <c r="A14">
        <v>10013</v>
      </c>
      <c r="B14" t="s">
        <v>20</v>
      </c>
      <c r="C14" t="s">
        <v>181</v>
      </c>
      <c r="D14" t="s">
        <v>187</v>
      </c>
      <c r="E14" t="s">
        <v>208</v>
      </c>
      <c r="F14">
        <v>36</v>
      </c>
      <c r="G14">
        <v>65000</v>
      </c>
      <c r="H14" t="s">
        <v>226</v>
      </c>
    </row>
    <row r="15" spans="1:13" x14ac:dyDescent="0.3">
      <c r="A15">
        <v>10014</v>
      </c>
      <c r="B15" t="s">
        <v>21</v>
      </c>
      <c r="C15" t="s">
        <v>174</v>
      </c>
      <c r="D15" t="s">
        <v>192</v>
      </c>
      <c r="E15" t="s">
        <v>204</v>
      </c>
      <c r="F15">
        <v>58</v>
      </c>
      <c r="G15">
        <v>80000</v>
      </c>
      <c r="H15" t="s">
        <v>230</v>
      </c>
    </row>
    <row r="16" spans="1:13" x14ac:dyDescent="0.3">
      <c r="A16">
        <v>10015</v>
      </c>
      <c r="B16" t="s">
        <v>22</v>
      </c>
      <c r="C16" t="s">
        <v>181</v>
      </c>
      <c r="D16" t="s">
        <v>193</v>
      </c>
      <c r="E16" t="s">
        <v>203</v>
      </c>
      <c r="F16">
        <v>52</v>
      </c>
      <c r="G16">
        <v>60000</v>
      </c>
      <c r="H16" t="s">
        <v>231</v>
      </c>
    </row>
    <row r="17" spans="1:8" x14ac:dyDescent="0.3">
      <c r="A17">
        <v>10016</v>
      </c>
      <c r="B17" t="s">
        <v>23</v>
      </c>
      <c r="C17" t="s">
        <v>177</v>
      </c>
      <c r="D17" t="s">
        <v>194</v>
      </c>
      <c r="E17" t="s">
        <v>205</v>
      </c>
      <c r="F17">
        <v>46</v>
      </c>
      <c r="G17">
        <v>40000</v>
      </c>
      <c r="H17" t="s">
        <v>230</v>
      </c>
    </row>
    <row r="18" spans="1:8" x14ac:dyDescent="0.3">
      <c r="A18">
        <v>10017</v>
      </c>
      <c r="B18" t="s">
        <v>24</v>
      </c>
      <c r="C18" t="s">
        <v>182</v>
      </c>
      <c r="D18" t="s">
        <v>195</v>
      </c>
      <c r="E18" t="s">
        <v>207</v>
      </c>
      <c r="F18">
        <v>24</v>
      </c>
      <c r="G18">
        <v>80000</v>
      </c>
      <c r="H18" t="s">
        <v>231</v>
      </c>
    </row>
    <row r="19" spans="1:8" x14ac:dyDescent="0.3">
      <c r="A19">
        <v>10018</v>
      </c>
      <c r="B19" t="s">
        <v>25</v>
      </c>
      <c r="C19" t="s">
        <v>174</v>
      </c>
      <c r="D19" t="s">
        <v>191</v>
      </c>
      <c r="E19" t="s">
        <v>204</v>
      </c>
      <c r="F19">
        <v>32</v>
      </c>
      <c r="G19">
        <v>40000</v>
      </c>
      <c r="H19" t="s">
        <v>231</v>
      </c>
    </row>
    <row r="20" spans="1:8" x14ac:dyDescent="0.3">
      <c r="A20">
        <v>10019</v>
      </c>
      <c r="B20" t="s">
        <v>26</v>
      </c>
      <c r="C20" t="s">
        <v>180</v>
      </c>
      <c r="D20" t="s">
        <v>189</v>
      </c>
      <c r="F20">
        <v>49</v>
      </c>
      <c r="G20">
        <v>50000</v>
      </c>
      <c r="H20" t="s">
        <v>231</v>
      </c>
    </row>
    <row r="21" spans="1:8" x14ac:dyDescent="0.3">
      <c r="A21">
        <v>10020</v>
      </c>
      <c r="B21" t="s">
        <v>8</v>
      </c>
      <c r="C21" t="s">
        <v>173</v>
      </c>
      <c r="D21" t="s">
        <v>190</v>
      </c>
      <c r="E21" t="s">
        <v>209</v>
      </c>
      <c r="F21">
        <v>41</v>
      </c>
      <c r="G21">
        <v>35000</v>
      </c>
      <c r="H21" t="s">
        <v>224</v>
      </c>
    </row>
    <row r="22" spans="1:8" x14ac:dyDescent="0.3">
      <c r="A22">
        <v>10021</v>
      </c>
      <c r="B22" t="s">
        <v>19</v>
      </c>
      <c r="C22" t="s">
        <v>175</v>
      </c>
      <c r="D22" t="s">
        <v>196</v>
      </c>
      <c r="E22" t="s">
        <v>201</v>
      </c>
      <c r="F22">
        <v>47</v>
      </c>
      <c r="G22">
        <v>45000</v>
      </c>
      <c r="H22" t="s">
        <v>229</v>
      </c>
    </row>
    <row r="23" spans="1:8" x14ac:dyDescent="0.3">
      <c r="A23">
        <v>10022</v>
      </c>
      <c r="B23" t="s">
        <v>27</v>
      </c>
      <c r="C23" t="s">
        <v>183</v>
      </c>
      <c r="D23" t="s">
        <v>193</v>
      </c>
      <c r="E23" t="s">
        <v>210</v>
      </c>
      <c r="F23">
        <v>58</v>
      </c>
      <c r="G23">
        <v>30000</v>
      </c>
      <c r="H23" t="s">
        <v>230</v>
      </c>
    </row>
    <row r="24" spans="1:8" x14ac:dyDescent="0.3">
      <c r="A24">
        <v>10023</v>
      </c>
      <c r="B24" t="s">
        <v>28</v>
      </c>
      <c r="C24" t="s">
        <v>184</v>
      </c>
      <c r="D24" t="s">
        <v>190</v>
      </c>
      <c r="E24" t="s">
        <v>205</v>
      </c>
      <c r="F24">
        <v>27</v>
      </c>
      <c r="G24">
        <v>90000</v>
      </c>
      <c r="H24" t="s">
        <v>230</v>
      </c>
    </row>
    <row r="25" spans="1:8" x14ac:dyDescent="0.3">
      <c r="A25">
        <v>10024</v>
      </c>
      <c r="B25" t="s">
        <v>29</v>
      </c>
      <c r="C25" t="s">
        <v>184</v>
      </c>
      <c r="D25" t="s">
        <v>197</v>
      </c>
      <c r="E25" t="s">
        <v>201</v>
      </c>
      <c r="F25">
        <v>250</v>
      </c>
      <c r="G25" t="s">
        <v>213</v>
      </c>
      <c r="H25" t="s">
        <v>229</v>
      </c>
    </row>
    <row r="26" spans="1:8" x14ac:dyDescent="0.3">
      <c r="A26">
        <v>10025</v>
      </c>
      <c r="B26" t="s">
        <v>30</v>
      </c>
      <c r="C26" t="s">
        <v>185</v>
      </c>
      <c r="D26" t="s">
        <v>198</v>
      </c>
      <c r="E26" t="s">
        <v>204</v>
      </c>
      <c r="F26">
        <v>31</v>
      </c>
      <c r="H26" t="s">
        <v>224</v>
      </c>
    </row>
    <row r="27" spans="1:8" x14ac:dyDescent="0.3">
      <c r="A27">
        <v>10026</v>
      </c>
      <c r="B27" t="s">
        <v>31</v>
      </c>
      <c r="C27" t="s">
        <v>175</v>
      </c>
      <c r="D27" t="s">
        <v>198</v>
      </c>
      <c r="E27" t="s">
        <v>200</v>
      </c>
      <c r="F27">
        <v>36</v>
      </c>
      <c r="G27">
        <v>90000</v>
      </c>
      <c r="H27" t="s">
        <v>230</v>
      </c>
    </row>
    <row r="28" spans="1:8" x14ac:dyDescent="0.3">
      <c r="A28">
        <v>10027</v>
      </c>
      <c r="B28" t="s">
        <v>32</v>
      </c>
      <c r="C28" t="s">
        <v>177</v>
      </c>
      <c r="D28" t="s">
        <v>196</v>
      </c>
      <c r="E28" t="s">
        <v>211</v>
      </c>
      <c r="G28">
        <v>30000</v>
      </c>
      <c r="H28" t="s">
        <v>230</v>
      </c>
    </row>
    <row r="29" spans="1:8" x14ac:dyDescent="0.3">
      <c r="A29">
        <v>10028</v>
      </c>
      <c r="B29" t="s">
        <v>33</v>
      </c>
      <c r="C29" t="s">
        <v>175</v>
      </c>
      <c r="D29" t="s">
        <v>193</v>
      </c>
      <c r="E29" t="s">
        <v>204</v>
      </c>
      <c r="F29">
        <v>51</v>
      </c>
      <c r="H29" t="s">
        <v>225</v>
      </c>
    </row>
    <row r="30" spans="1:8" x14ac:dyDescent="0.3">
      <c r="A30">
        <v>10029</v>
      </c>
      <c r="B30" t="s">
        <v>34</v>
      </c>
      <c r="C30" t="s">
        <v>174</v>
      </c>
      <c r="E30" t="s">
        <v>209</v>
      </c>
      <c r="F30">
        <v>36</v>
      </c>
      <c r="H30" t="s">
        <v>225</v>
      </c>
    </row>
    <row r="31" spans="1:8" x14ac:dyDescent="0.3">
      <c r="A31">
        <v>10030</v>
      </c>
      <c r="B31" t="s">
        <v>35</v>
      </c>
      <c r="C31" t="s">
        <v>186</v>
      </c>
      <c r="D31" t="s">
        <v>196</v>
      </c>
      <c r="E31" t="s">
        <v>205</v>
      </c>
      <c r="F31">
        <v>30</v>
      </c>
      <c r="G31">
        <v>30000</v>
      </c>
      <c r="H31" t="s">
        <v>230</v>
      </c>
    </row>
    <row r="32" spans="1:8" x14ac:dyDescent="0.3">
      <c r="A32">
        <v>10031</v>
      </c>
      <c r="B32" t="s">
        <v>36</v>
      </c>
      <c r="C32" t="s">
        <v>180</v>
      </c>
      <c r="D32" t="s">
        <v>193</v>
      </c>
      <c r="E32" t="s">
        <v>209</v>
      </c>
      <c r="F32">
        <v>-5</v>
      </c>
      <c r="G32" t="s">
        <v>214</v>
      </c>
      <c r="H32" t="s">
        <v>224</v>
      </c>
    </row>
    <row r="33" spans="1:8" x14ac:dyDescent="0.3">
      <c r="A33">
        <v>10032</v>
      </c>
      <c r="B33" t="s">
        <v>37</v>
      </c>
      <c r="C33" t="s">
        <v>180</v>
      </c>
      <c r="D33" t="s">
        <v>190</v>
      </c>
      <c r="E33" t="s">
        <v>202</v>
      </c>
      <c r="F33">
        <v>60</v>
      </c>
      <c r="G33">
        <v>30000</v>
      </c>
      <c r="H33" t="s">
        <v>225</v>
      </c>
    </row>
    <row r="34" spans="1:8" x14ac:dyDescent="0.3">
      <c r="A34">
        <v>10033</v>
      </c>
      <c r="B34" t="s">
        <v>38</v>
      </c>
      <c r="C34" t="s">
        <v>181</v>
      </c>
      <c r="D34" t="s">
        <v>198</v>
      </c>
      <c r="E34" t="s">
        <v>209</v>
      </c>
      <c r="F34">
        <v>47</v>
      </c>
      <c r="G34">
        <v>70000</v>
      </c>
      <c r="H34" t="s">
        <v>230</v>
      </c>
    </row>
    <row r="35" spans="1:8" x14ac:dyDescent="0.3">
      <c r="A35">
        <v>10034</v>
      </c>
      <c r="B35" t="s">
        <v>39</v>
      </c>
      <c r="C35" t="s">
        <v>182</v>
      </c>
      <c r="D35" t="s">
        <v>197</v>
      </c>
      <c r="E35" t="s">
        <v>208</v>
      </c>
      <c r="F35">
        <v>26</v>
      </c>
      <c r="G35">
        <v>80000</v>
      </c>
      <c r="H35" t="s">
        <v>225</v>
      </c>
    </row>
    <row r="36" spans="1:8" x14ac:dyDescent="0.3">
      <c r="A36">
        <v>10035</v>
      </c>
      <c r="B36" t="s">
        <v>40</v>
      </c>
      <c r="C36" t="s">
        <v>186</v>
      </c>
      <c r="D36" t="s">
        <v>198</v>
      </c>
      <c r="E36" t="s">
        <v>201</v>
      </c>
      <c r="F36">
        <v>24</v>
      </c>
      <c r="G36">
        <v>50000</v>
      </c>
      <c r="H36" t="s">
        <v>225</v>
      </c>
    </row>
    <row r="37" spans="1:8" x14ac:dyDescent="0.3">
      <c r="A37">
        <v>10036</v>
      </c>
      <c r="B37" t="s">
        <v>41</v>
      </c>
      <c r="C37" t="s">
        <v>184</v>
      </c>
      <c r="D37" t="s">
        <v>195</v>
      </c>
      <c r="E37" t="s">
        <v>208</v>
      </c>
      <c r="G37">
        <v>65000</v>
      </c>
      <c r="H37" t="s">
        <v>229</v>
      </c>
    </row>
    <row r="38" spans="1:8" x14ac:dyDescent="0.3">
      <c r="A38">
        <v>10037</v>
      </c>
      <c r="B38" t="s">
        <v>20</v>
      </c>
      <c r="C38" t="s">
        <v>180</v>
      </c>
      <c r="D38" t="s">
        <v>187</v>
      </c>
      <c r="E38" t="s">
        <v>207</v>
      </c>
      <c r="F38">
        <v>27</v>
      </c>
      <c r="G38">
        <v>45000</v>
      </c>
      <c r="H38" t="s">
        <v>229</v>
      </c>
    </row>
    <row r="39" spans="1:8" x14ac:dyDescent="0.3">
      <c r="A39">
        <v>10038</v>
      </c>
      <c r="B39" t="s">
        <v>42</v>
      </c>
      <c r="C39" t="s">
        <v>182</v>
      </c>
      <c r="D39" t="s">
        <v>195</v>
      </c>
      <c r="E39" t="s">
        <v>210</v>
      </c>
      <c r="F39">
        <v>54</v>
      </c>
      <c r="G39">
        <v>70000</v>
      </c>
      <c r="H39" t="s">
        <v>228</v>
      </c>
    </row>
    <row r="40" spans="1:8" x14ac:dyDescent="0.3">
      <c r="A40">
        <v>10039</v>
      </c>
      <c r="B40" t="s">
        <v>43</v>
      </c>
      <c r="C40" t="s">
        <v>186</v>
      </c>
      <c r="D40" t="s">
        <v>196</v>
      </c>
      <c r="E40" t="s">
        <v>208</v>
      </c>
      <c r="F40">
        <v>35</v>
      </c>
      <c r="G40">
        <v>70000</v>
      </c>
      <c r="H40" t="s">
        <v>227</v>
      </c>
    </row>
    <row r="41" spans="1:8" x14ac:dyDescent="0.3">
      <c r="A41">
        <v>10040</v>
      </c>
      <c r="B41" t="s">
        <v>44</v>
      </c>
      <c r="C41" t="s">
        <v>185</v>
      </c>
      <c r="D41" t="s">
        <v>192</v>
      </c>
      <c r="E41" t="s">
        <v>202</v>
      </c>
      <c r="F41">
        <v>27</v>
      </c>
      <c r="H41" t="s">
        <v>226</v>
      </c>
    </row>
    <row r="42" spans="1:8" x14ac:dyDescent="0.3">
      <c r="A42">
        <v>10041</v>
      </c>
      <c r="B42" t="s">
        <v>45</v>
      </c>
      <c r="C42" t="s">
        <v>177</v>
      </c>
      <c r="D42" t="s">
        <v>187</v>
      </c>
      <c r="E42" t="s">
        <v>208</v>
      </c>
      <c r="F42">
        <v>41</v>
      </c>
      <c r="G42">
        <v>60000</v>
      </c>
      <c r="H42" t="s">
        <v>229</v>
      </c>
    </row>
    <row r="43" spans="1:8" x14ac:dyDescent="0.3">
      <c r="A43">
        <v>10042</v>
      </c>
      <c r="B43" t="s">
        <v>46</v>
      </c>
      <c r="C43" t="s">
        <v>176</v>
      </c>
      <c r="D43" t="s">
        <v>189</v>
      </c>
      <c r="E43" t="s">
        <v>208</v>
      </c>
      <c r="F43">
        <v>27</v>
      </c>
      <c r="G43">
        <v>90000</v>
      </c>
      <c r="H43" t="s">
        <v>226</v>
      </c>
    </row>
    <row r="44" spans="1:8" x14ac:dyDescent="0.3">
      <c r="A44">
        <v>10043</v>
      </c>
      <c r="B44" t="s">
        <v>47</v>
      </c>
      <c r="C44" t="s">
        <v>182</v>
      </c>
      <c r="D44" t="s">
        <v>198</v>
      </c>
      <c r="E44" t="s">
        <v>201</v>
      </c>
      <c r="F44">
        <v>52</v>
      </c>
      <c r="G44">
        <v>50000</v>
      </c>
      <c r="H44" t="s">
        <v>227</v>
      </c>
    </row>
    <row r="45" spans="1:8" x14ac:dyDescent="0.3">
      <c r="A45">
        <v>10044</v>
      </c>
      <c r="B45" t="s">
        <v>48</v>
      </c>
      <c r="C45" t="s">
        <v>180</v>
      </c>
      <c r="D45" t="s">
        <v>195</v>
      </c>
      <c r="E45" t="s">
        <v>207</v>
      </c>
      <c r="F45">
        <v>36</v>
      </c>
      <c r="G45">
        <v>50000</v>
      </c>
      <c r="H45" t="s">
        <v>229</v>
      </c>
    </row>
    <row r="46" spans="1:8" x14ac:dyDescent="0.3">
      <c r="A46">
        <v>10045</v>
      </c>
      <c r="B46" t="s">
        <v>49</v>
      </c>
      <c r="C46" t="s">
        <v>175</v>
      </c>
      <c r="D46" t="s">
        <v>194</v>
      </c>
      <c r="E46" t="s">
        <v>207</v>
      </c>
      <c r="F46">
        <v>50</v>
      </c>
      <c r="G46">
        <v>40000</v>
      </c>
      <c r="H46" t="s">
        <v>227</v>
      </c>
    </row>
    <row r="47" spans="1:8" x14ac:dyDescent="0.3">
      <c r="A47">
        <v>10046</v>
      </c>
      <c r="B47" t="s">
        <v>44</v>
      </c>
      <c r="C47" t="s">
        <v>173</v>
      </c>
      <c r="D47" t="s">
        <v>192</v>
      </c>
      <c r="E47" t="s">
        <v>211</v>
      </c>
      <c r="F47">
        <v>52</v>
      </c>
      <c r="G47">
        <v>40000</v>
      </c>
      <c r="H47" t="s">
        <v>225</v>
      </c>
    </row>
    <row r="48" spans="1:8" x14ac:dyDescent="0.3">
      <c r="A48">
        <v>10047</v>
      </c>
      <c r="B48" t="s">
        <v>50</v>
      </c>
      <c r="C48" t="s">
        <v>179</v>
      </c>
      <c r="D48" t="s">
        <v>196</v>
      </c>
      <c r="E48" t="s">
        <v>204</v>
      </c>
      <c r="F48">
        <v>22</v>
      </c>
      <c r="G48">
        <v>65000</v>
      </c>
      <c r="H48" t="s">
        <v>229</v>
      </c>
    </row>
    <row r="49" spans="1:8" x14ac:dyDescent="0.3">
      <c r="A49">
        <v>10048</v>
      </c>
      <c r="B49" t="s">
        <v>51</v>
      </c>
      <c r="C49" t="s">
        <v>183</v>
      </c>
      <c r="D49" t="s">
        <v>188</v>
      </c>
      <c r="E49" t="s">
        <v>209</v>
      </c>
      <c r="F49">
        <v>21</v>
      </c>
      <c r="G49">
        <v>80000</v>
      </c>
      <c r="H49" t="s">
        <v>230</v>
      </c>
    </row>
    <row r="50" spans="1:8" x14ac:dyDescent="0.3">
      <c r="A50">
        <v>10049</v>
      </c>
      <c r="B50" t="s">
        <v>52</v>
      </c>
      <c r="C50" t="s">
        <v>178</v>
      </c>
      <c r="D50" t="s">
        <v>187</v>
      </c>
      <c r="E50" t="s">
        <v>205</v>
      </c>
      <c r="F50">
        <v>58</v>
      </c>
      <c r="G50">
        <v>80000</v>
      </c>
      <c r="H50" t="s">
        <v>231</v>
      </c>
    </row>
    <row r="51" spans="1:8" x14ac:dyDescent="0.3">
      <c r="A51">
        <v>10050</v>
      </c>
      <c r="B51" t="s">
        <v>53</v>
      </c>
      <c r="C51" t="s">
        <v>178</v>
      </c>
      <c r="D51" t="s">
        <v>194</v>
      </c>
      <c r="E51" t="s">
        <v>201</v>
      </c>
      <c r="F51">
        <v>26</v>
      </c>
      <c r="G51">
        <v>70000</v>
      </c>
      <c r="H51" t="s">
        <v>227</v>
      </c>
    </row>
    <row r="52" spans="1:8" x14ac:dyDescent="0.3">
      <c r="A52">
        <v>10051</v>
      </c>
      <c r="B52" t="s">
        <v>54</v>
      </c>
      <c r="C52" t="s">
        <v>185</v>
      </c>
      <c r="D52" t="s">
        <v>194</v>
      </c>
      <c r="E52" t="s">
        <v>201</v>
      </c>
      <c r="F52">
        <v>42</v>
      </c>
      <c r="G52">
        <v>35000</v>
      </c>
      <c r="H52" t="s">
        <v>224</v>
      </c>
    </row>
    <row r="53" spans="1:8" x14ac:dyDescent="0.3">
      <c r="A53">
        <v>10052</v>
      </c>
      <c r="B53" t="s">
        <v>55</v>
      </c>
      <c r="C53" t="s">
        <v>179</v>
      </c>
      <c r="D53" t="s">
        <v>189</v>
      </c>
      <c r="E53" t="s">
        <v>205</v>
      </c>
      <c r="F53">
        <v>41</v>
      </c>
      <c r="G53">
        <v>30000</v>
      </c>
      <c r="H53" t="s">
        <v>227</v>
      </c>
    </row>
    <row r="54" spans="1:8" x14ac:dyDescent="0.3">
      <c r="A54">
        <v>10053</v>
      </c>
      <c r="B54" t="s">
        <v>56</v>
      </c>
      <c r="C54" t="s">
        <v>176</v>
      </c>
      <c r="E54" t="s">
        <v>201</v>
      </c>
      <c r="F54">
        <v>56</v>
      </c>
      <c r="G54">
        <v>30000</v>
      </c>
      <c r="H54" t="s">
        <v>225</v>
      </c>
    </row>
    <row r="55" spans="1:8" x14ac:dyDescent="0.3">
      <c r="A55">
        <v>10054</v>
      </c>
      <c r="B55" t="s">
        <v>57</v>
      </c>
      <c r="C55" t="s">
        <v>183</v>
      </c>
      <c r="D55" t="s">
        <v>199</v>
      </c>
      <c r="E55" t="s">
        <v>205</v>
      </c>
      <c r="F55">
        <v>51</v>
      </c>
      <c r="G55">
        <v>45000</v>
      </c>
      <c r="H55" t="s">
        <v>229</v>
      </c>
    </row>
    <row r="56" spans="1:8" x14ac:dyDescent="0.3">
      <c r="A56">
        <v>10055</v>
      </c>
      <c r="B56" t="s">
        <v>58</v>
      </c>
      <c r="C56" t="s">
        <v>183</v>
      </c>
      <c r="D56" t="s">
        <v>194</v>
      </c>
      <c r="E56" t="s">
        <v>202</v>
      </c>
      <c r="F56">
        <v>35</v>
      </c>
      <c r="G56">
        <v>35000</v>
      </c>
      <c r="H56" t="s">
        <v>227</v>
      </c>
    </row>
    <row r="57" spans="1:8" x14ac:dyDescent="0.3">
      <c r="A57">
        <v>10056</v>
      </c>
      <c r="B57" t="s">
        <v>12</v>
      </c>
      <c r="C57" t="s">
        <v>185</v>
      </c>
      <c r="D57" t="s">
        <v>194</v>
      </c>
      <c r="E57" t="s">
        <v>208</v>
      </c>
      <c r="F57">
        <v>47</v>
      </c>
      <c r="G57">
        <v>80000</v>
      </c>
      <c r="H57" t="s">
        <v>231</v>
      </c>
    </row>
    <row r="58" spans="1:8" x14ac:dyDescent="0.3">
      <c r="A58">
        <v>10057</v>
      </c>
      <c r="B58" t="s">
        <v>59</v>
      </c>
      <c r="C58" t="s">
        <v>175</v>
      </c>
      <c r="D58" t="s">
        <v>190</v>
      </c>
      <c r="E58" t="s">
        <v>210</v>
      </c>
      <c r="F58">
        <v>31</v>
      </c>
      <c r="G58">
        <v>50000</v>
      </c>
      <c r="H58" t="s">
        <v>230</v>
      </c>
    </row>
    <row r="59" spans="1:8" x14ac:dyDescent="0.3">
      <c r="A59">
        <v>10058</v>
      </c>
      <c r="B59" t="s">
        <v>60</v>
      </c>
      <c r="C59" t="s">
        <v>182</v>
      </c>
      <c r="D59" t="s">
        <v>196</v>
      </c>
      <c r="E59" t="s">
        <v>210</v>
      </c>
      <c r="F59">
        <v>59</v>
      </c>
      <c r="G59">
        <v>50000</v>
      </c>
      <c r="H59" t="s">
        <v>230</v>
      </c>
    </row>
    <row r="60" spans="1:8" x14ac:dyDescent="0.3">
      <c r="A60">
        <v>10059</v>
      </c>
      <c r="B60" t="s">
        <v>61</v>
      </c>
      <c r="C60" t="s">
        <v>175</v>
      </c>
      <c r="D60" t="s">
        <v>196</v>
      </c>
      <c r="E60" t="s">
        <v>211</v>
      </c>
      <c r="F60">
        <v>22</v>
      </c>
      <c r="G60">
        <v>80000</v>
      </c>
      <c r="H60" t="s">
        <v>225</v>
      </c>
    </row>
    <row r="61" spans="1:8" x14ac:dyDescent="0.3">
      <c r="A61">
        <v>10060</v>
      </c>
      <c r="B61" t="s">
        <v>62</v>
      </c>
      <c r="C61" t="s">
        <v>176</v>
      </c>
      <c r="D61" t="s">
        <v>191</v>
      </c>
      <c r="E61" t="s">
        <v>201</v>
      </c>
      <c r="F61">
        <v>24</v>
      </c>
      <c r="G61">
        <v>30000</v>
      </c>
      <c r="H61" t="s">
        <v>229</v>
      </c>
    </row>
    <row r="62" spans="1:8" x14ac:dyDescent="0.3">
      <c r="A62">
        <v>10061</v>
      </c>
      <c r="B62" t="s">
        <v>63</v>
      </c>
      <c r="C62" t="s">
        <v>175</v>
      </c>
      <c r="D62" t="s">
        <v>193</v>
      </c>
      <c r="E62" t="s">
        <v>204</v>
      </c>
      <c r="F62">
        <v>45</v>
      </c>
      <c r="G62">
        <v>50000</v>
      </c>
      <c r="H62" t="s">
        <v>231</v>
      </c>
    </row>
    <row r="63" spans="1:8" x14ac:dyDescent="0.3">
      <c r="A63">
        <v>10062</v>
      </c>
      <c r="B63" t="s">
        <v>64</v>
      </c>
      <c r="C63" t="s">
        <v>182</v>
      </c>
      <c r="D63" t="s">
        <v>192</v>
      </c>
      <c r="E63" t="s">
        <v>211</v>
      </c>
      <c r="F63">
        <v>29</v>
      </c>
      <c r="G63">
        <v>55000</v>
      </c>
      <c r="H63" t="s">
        <v>228</v>
      </c>
    </row>
    <row r="64" spans="1:8" x14ac:dyDescent="0.3">
      <c r="A64">
        <v>10063</v>
      </c>
      <c r="B64" t="s">
        <v>65</v>
      </c>
      <c r="C64" t="s">
        <v>180</v>
      </c>
      <c r="D64" t="s">
        <v>197</v>
      </c>
      <c r="E64" t="s">
        <v>204</v>
      </c>
      <c r="F64">
        <v>38</v>
      </c>
      <c r="G64">
        <v>80000</v>
      </c>
      <c r="H64" t="s">
        <v>225</v>
      </c>
    </row>
    <row r="65" spans="1:8" x14ac:dyDescent="0.3">
      <c r="A65">
        <v>10064</v>
      </c>
      <c r="B65" t="s">
        <v>20</v>
      </c>
      <c r="C65" t="s">
        <v>175</v>
      </c>
      <c r="D65" t="s">
        <v>189</v>
      </c>
      <c r="E65" t="s">
        <v>202</v>
      </c>
      <c r="F65">
        <v>35</v>
      </c>
      <c r="G65" t="s">
        <v>215</v>
      </c>
      <c r="H65" t="s">
        <v>225</v>
      </c>
    </row>
    <row r="66" spans="1:8" x14ac:dyDescent="0.3">
      <c r="A66">
        <v>10065</v>
      </c>
      <c r="B66" t="s">
        <v>66</v>
      </c>
      <c r="C66" t="s">
        <v>177</v>
      </c>
      <c r="D66" t="s">
        <v>187</v>
      </c>
      <c r="E66" t="s">
        <v>202</v>
      </c>
      <c r="F66">
        <v>43</v>
      </c>
      <c r="G66">
        <v>35000</v>
      </c>
      <c r="H66" t="s">
        <v>226</v>
      </c>
    </row>
    <row r="67" spans="1:8" x14ac:dyDescent="0.3">
      <c r="A67">
        <v>10066</v>
      </c>
      <c r="B67" t="s">
        <v>67</v>
      </c>
      <c r="C67" t="s">
        <v>173</v>
      </c>
      <c r="D67" t="s">
        <v>195</v>
      </c>
      <c r="E67" t="s">
        <v>209</v>
      </c>
      <c r="F67">
        <v>56</v>
      </c>
      <c r="G67">
        <v>40000</v>
      </c>
      <c r="H67" t="s">
        <v>230</v>
      </c>
    </row>
    <row r="68" spans="1:8" x14ac:dyDescent="0.3">
      <c r="A68">
        <v>10067</v>
      </c>
      <c r="B68" t="s">
        <v>20</v>
      </c>
      <c r="C68" t="s">
        <v>179</v>
      </c>
      <c r="E68" t="s">
        <v>201</v>
      </c>
      <c r="F68">
        <v>48</v>
      </c>
      <c r="G68">
        <v>35000</v>
      </c>
      <c r="H68" t="s">
        <v>228</v>
      </c>
    </row>
    <row r="69" spans="1:8" x14ac:dyDescent="0.3">
      <c r="A69">
        <v>10068</v>
      </c>
      <c r="B69" t="s">
        <v>33</v>
      </c>
      <c r="C69" t="s">
        <v>184</v>
      </c>
      <c r="D69" t="s">
        <v>190</v>
      </c>
      <c r="E69" t="s">
        <v>207</v>
      </c>
      <c r="F69">
        <v>45</v>
      </c>
      <c r="G69">
        <v>65000</v>
      </c>
      <c r="H69" t="s">
        <v>228</v>
      </c>
    </row>
    <row r="70" spans="1:8" x14ac:dyDescent="0.3">
      <c r="A70">
        <v>10069</v>
      </c>
      <c r="B70" t="s">
        <v>68</v>
      </c>
      <c r="C70" t="s">
        <v>182</v>
      </c>
      <c r="D70" t="s">
        <v>188</v>
      </c>
      <c r="E70" t="s">
        <v>208</v>
      </c>
      <c r="F70">
        <v>60</v>
      </c>
      <c r="G70">
        <v>60000</v>
      </c>
      <c r="H70" t="s">
        <v>227</v>
      </c>
    </row>
    <row r="71" spans="1:8" x14ac:dyDescent="0.3">
      <c r="A71">
        <v>10070</v>
      </c>
      <c r="B71" t="s">
        <v>16</v>
      </c>
      <c r="C71" t="s">
        <v>180</v>
      </c>
      <c r="D71" t="s">
        <v>191</v>
      </c>
      <c r="E71" t="s">
        <v>206</v>
      </c>
      <c r="F71">
        <v>55</v>
      </c>
      <c r="G71" t="s">
        <v>216</v>
      </c>
      <c r="H71" t="s">
        <v>228</v>
      </c>
    </row>
    <row r="72" spans="1:8" x14ac:dyDescent="0.3">
      <c r="A72">
        <v>10071</v>
      </c>
      <c r="B72" t="s">
        <v>69</v>
      </c>
      <c r="C72" t="s">
        <v>184</v>
      </c>
      <c r="D72" t="s">
        <v>198</v>
      </c>
      <c r="F72">
        <v>55</v>
      </c>
      <c r="G72">
        <v>35000</v>
      </c>
      <c r="H72" t="s">
        <v>230</v>
      </c>
    </row>
    <row r="73" spans="1:8" x14ac:dyDescent="0.3">
      <c r="A73">
        <v>10072</v>
      </c>
      <c r="B73" t="s">
        <v>70</v>
      </c>
      <c r="C73" t="s">
        <v>183</v>
      </c>
      <c r="D73" t="s">
        <v>192</v>
      </c>
      <c r="E73" t="s">
        <v>201</v>
      </c>
      <c r="F73">
        <v>32</v>
      </c>
      <c r="G73">
        <v>60000</v>
      </c>
      <c r="H73" t="s">
        <v>230</v>
      </c>
    </row>
    <row r="74" spans="1:8" x14ac:dyDescent="0.3">
      <c r="A74">
        <v>10073</v>
      </c>
      <c r="B74" t="s">
        <v>49</v>
      </c>
      <c r="C74" t="s">
        <v>182</v>
      </c>
      <c r="D74" t="s">
        <v>198</v>
      </c>
      <c r="E74" t="s">
        <v>207</v>
      </c>
      <c r="F74">
        <v>39</v>
      </c>
      <c r="G74">
        <v>70000</v>
      </c>
      <c r="H74" t="s">
        <v>229</v>
      </c>
    </row>
    <row r="75" spans="1:8" x14ac:dyDescent="0.3">
      <c r="A75">
        <v>10074</v>
      </c>
      <c r="B75" t="s">
        <v>71</v>
      </c>
      <c r="C75" t="s">
        <v>185</v>
      </c>
      <c r="D75" t="s">
        <v>199</v>
      </c>
      <c r="E75" t="s">
        <v>201</v>
      </c>
      <c r="F75">
        <v>60</v>
      </c>
      <c r="G75">
        <v>40000</v>
      </c>
      <c r="H75" t="s">
        <v>227</v>
      </c>
    </row>
    <row r="76" spans="1:8" x14ac:dyDescent="0.3">
      <c r="A76">
        <v>10075</v>
      </c>
      <c r="B76" t="s">
        <v>72</v>
      </c>
      <c r="C76" t="s">
        <v>177</v>
      </c>
      <c r="D76" t="s">
        <v>199</v>
      </c>
      <c r="E76" t="s">
        <v>208</v>
      </c>
      <c r="F76">
        <v>250</v>
      </c>
      <c r="G76">
        <v>50000</v>
      </c>
      <c r="H76" t="s">
        <v>228</v>
      </c>
    </row>
    <row r="77" spans="1:8" x14ac:dyDescent="0.3">
      <c r="A77">
        <v>10076</v>
      </c>
      <c r="B77" t="s">
        <v>49</v>
      </c>
      <c r="C77" t="s">
        <v>180</v>
      </c>
      <c r="D77" t="s">
        <v>187</v>
      </c>
      <c r="E77" t="s">
        <v>206</v>
      </c>
      <c r="F77">
        <v>55</v>
      </c>
      <c r="H77" t="s">
        <v>231</v>
      </c>
    </row>
    <row r="78" spans="1:8" x14ac:dyDescent="0.3">
      <c r="A78">
        <v>10077</v>
      </c>
      <c r="B78" t="s">
        <v>73</v>
      </c>
      <c r="C78" t="s">
        <v>183</v>
      </c>
      <c r="D78" t="s">
        <v>189</v>
      </c>
      <c r="E78" t="s">
        <v>206</v>
      </c>
      <c r="F78">
        <v>58</v>
      </c>
      <c r="G78">
        <v>80000</v>
      </c>
      <c r="H78" t="s">
        <v>228</v>
      </c>
    </row>
    <row r="79" spans="1:8" x14ac:dyDescent="0.3">
      <c r="A79">
        <v>10078</v>
      </c>
      <c r="B79" t="s">
        <v>74</v>
      </c>
      <c r="C79" t="s">
        <v>173</v>
      </c>
      <c r="D79" t="s">
        <v>187</v>
      </c>
      <c r="E79" t="s">
        <v>209</v>
      </c>
      <c r="F79">
        <v>37</v>
      </c>
      <c r="G79">
        <v>70000</v>
      </c>
      <c r="H79" t="s">
        <v>224</v>
      </c>
    </row>
    <row r="80" spans="1:8" x14ac:dyDescent="0.3">
      <c r="A80">
        <v>10079</v>
      </c>
      <c r="B80" t="s">
        <v>75</v>
      </c>
      <c r="C80" t="s">
        <v>173</v>
      </c>
      <c r="D80" t="s">
        <v>196</v>
      </c>
      <c r="E80" t="s">
        <v>211</v>
      </c>
      <c r="F80">
        <v>-5</v>
      </c>
      <c r="G80">
        <v>65000</v>
      </c>
      <c r="H80" t="s">
        <v>224</v>
      </c>
    </row>
    <row r="81" spans="1:8" x14ac:dyDescent="0.3">
      <c r="A81">
        <v>10080</v>
      </c>
      <c r="B81" t="s">
        <v>76</v>
      </c>
      <c r="C81" t="s">
        <v>174</v>
      </c>
      <c r="D81" t="s">
        <v>197</v>
      </c>
      <c r="E81" t="s">
        <v>203</v>
      </c>
      <c r="F81">
        <v>24</v>
      </c>
      <c r="G81">
        <v>50000</v>
      </c>
      <c r="H81" t="s">
        <v>229</v>
      </c>
    </row>
    <row r="82" spans="1:8" x14ac:dyDescent="0.3">
      <c r="A82">
        <v>10081</v>
      </c>
      <c r="B82" t="s">
        <v>77</v>
      </c>
      <c r="C82" t="s">
        <v>173</v>
      </c>
      <c r="D82" t="s">
        <v>198</v>
      </c>
      <c r="E82" t="s">
        <v>205</v>
      </c>
      <c r="F82">
        <v>36</v>
      </c>
      <c r="G82">
        <v>60000</v>
      </c>
      <c r="H82" t="s">
        <v>230</v>
      </c>
    </row>
    <row r="83" spans="1:8" x14ac:dyDescent="0.3">
      <c r="A83">
        <v>10082</v>
      </c>
      <c r="B83" t="s">
        <v>54</v>
      </c>
      <c r="C83" t="s">
        <v>180</v>
      </c>
      <c r="D83" t="s">
        <v>196</v>
      </c>
      <c r="E83" t="s">
        <v>201</v>
      </c>
      <c r="F83">
        <v>50</v>
      </c>
      <c r="G83">
        <v>40000</v>
      </c>
      <c r="H83" t="s">
        <v>228</v>
      </c>
    </row>
    <row r="84" spans="1:8" x14ac:dyDescent="0.3">
      <c r="A84">
        <v>10083</v>
      </c>
      <c r="B84" t="s">
        <v>78</v>
      </c>
      <c r="C84" t="s">
        <v>183</v>
      </c>
      <c r="D84" t="s">
        <v>187</v>
      </c>
      <c r="E84" t="s">
        <v>204</v>
      </c>
      <c r="G84">
        <v>40000</v>
      </c>
      <c r="H84" t="s">
        <v>231</v>
      </c>
    </row>
    <row r="85" spans="1:8" x14ac:dyDescent="0.3">
      <c r="A85">
        <v>10084</v>
      </c>
      <c r="B85" t="s">
        <v>53</v>
      </c>
      <c r="C85" t="s">
        <v>177</v>
      </c>
      <c r="D85" t="s">
        <v>197</v>
      </c>
      <c r="E85" t="s">
        <v>202</v>
      </c>
      <c r="F85">
        <v>47</v>
      </c>
      <c r="G85">
        <v>65000</v>
      </c>
      <c r="H85" t="s">
        <v>228</v>
      </c>
    </row>
    <row r="86" spans="1:8" x14ac:dyDescent="0.3">
      <c r="A86">
        <v>10085</v>
      </c>
      <c r="B86" t="s">
        <v>72</v>
      </c>
      <c r="C86" t="s">
        <v>185</v>
      </c>
      <c r="D86" t="s">
        <v>195</v>
      </c>
      <c r="E86" t="s">
        <v>201</v>
      </c>
      <c r="F86">
        <v>44</v>
      </c>
      <c r="G86">
        <v>65000</v>
      </c>
      <c r="H86" t="s">
        <v>230</v>
      </c>
    </row>
    <row r="87" spans="1:8" x14ac:dyDescent="0.3">
      <c r="A87">
        <v>10086</v>
      </c>
      <c r="B87" t="s">
        <v>79</v>
      </c>
      <c r="C87" t="s">
        <v>176</v>
      </c>
      <c r="D87" t="s">
        <v>197</v>
      </c>
      <c r="E87" t="s">
        <v>201</v>
      </c>
      <c r="F87">
        <v>51</v>
      </c>
      <c r="G87">
        <v>50000</v>
      </c>
      <c r="H87" t="s">
        <v>225</v>
      </c>
    </row>
    <row r="88" spans="1:8" x14ac:dyDescent="0.3">
      <c r="B88" t="s">
        <v>80</v>
      </c>
      <c r="C88" t="s">
        <v>180</v>
      </c>
      <c r="D88" t="s">
        <v>195</v>
      </c>
      <c r="E88" t="s">
        <v>208</v>
      </c>
      <c r="F88">
        <v>39</v>
      </c>
      <c r="G88">
        <v>70000</v>
      </c>
      <c r="H88" t="s">
        <v>224</v>
      </c>
    </row>
    <row r="89" spans="1:8" x14ac:dyDescent="0.3">
      <c r="A89">
        <v>10088</v>
      </c>
      <c r="B89" t="s">
        <v>81</v>
      </c>
      <c r="C89" t="s">
        <v>185</v>
      </c>
      <c r="D89" t="s">
        <v>198</v>
      </c>
      <c r="E89" t="s">
        <v>206</v>
      </c>
      <c r="F89">
        <v>22</v>
      </c>
      <c r="G89">
        <v>60000</v>
      </c>
      <c r="H89" t="s">
        <v>230</v>
      </c>
    </row>
    <row r="90" spans="1:8" x14ac:dyDescent="0.3">
      <c r="A90">
        <v>10089</v>
      </c>
      <c r="B90" t="s">
        <v>27</v>
      </c>
      <c r="C90" t="s">
        <v>181</v>
      </c>
      <c r="D90" t="s">
        <v>196</v>
      </c>
      <c r="E90" t="s">
        <v>201</v>
      </c>
      <c r="F90">
        <v>43</v>
      </c>
      <c r="G90">
        <v>50000</v>
      </c>
      <c r="H90" t="s">
        <v>225</v>
      </c>
    </row>
    <row r="91" spans="1:8" x14ac:dyDescent="0.3">
      <c r="A91">
        <v>10090</v>
      </c>
      <c r="B91" t="s">
        <v>82</v>
      </c>
      <c r="C91" t="s">
        <v>181</v>
      </c>
      <c r="D91" t="s">
        <v>197</v>
      </c>
      <c r="E91" t="s">
        <v>201</v>
      </c>
      <c r="F91">
        <v>47</v>
      </c>
      <c r="G91">
        <v>50000</v>
      </c>
      <c r="H91" t="s">
        <v>230</v>
      </c>
    </row>
    <row r="92" spans="1:8" x14ac:dyDescent="0.3">
      <c r="A92">
        <v>10091</v>
      </c>
      <c r="B92" t="s">
        <v>83</v>
      </c>
      <c r="C92" t="s">
        <v>185</v>
      </c>
      <c r="D92" t="s">
        <v>191</v>
      </c>
      <c r="E92" t="s">
        <v>207</v>
      </c>
      <c r="F92">
        <v>39</v>
      </c>
      <c r="G92" t="s">
        <v>214</v>
      </c>
      <c r="H92" t="s">
        <v>228</v>
      </c>
    </row>
    <row r="93" spans="1:8" x14ac:dyDescent="0.3">
      <c r="A93">
        <v>10092</v>
      </c>
      <c r="B93" t="s">
        <v>84</v>
      </c>
      <c r="C93" t="s">
        <v>184</v>
      </c>
      <c r="D93" t="s">
        <v>192</v>
      </c>
      <c r="E93" t="s">
        <v>210</v>
      </c>
      <c r="F93">
        <v>21</v>
      </c>
      <c r="G93">
        <v>80000</v>
      </c>
      <c r="H93" t="s">
        <v>225</v>
      </c>
    </row>
    <row r="94" spans="1:8" x14ac:dyDescent="0.3">
      <c r="A94">
        <v>10093</v>
      </c>
      <c r="B94" t="s">
        <v>85</v>
      </c>
      <c r="C94" t="s">
        <v>183</v>
      </c>
      <c r="D94" t="s">
        <v>194</v>
      </c>
      <c r="E94" t="s">
        <v>207</v>
      </c>
      <c r="F94">
        <v>20</v>
      </c>
      <c r="G94">
        <v>35000</v>
      </c>
      <c r="H94" t="s">
        <v>225</v>
      </c>
    </row>
    <row r="95" spans="1:8" x14ac:dyDescent="0.3">
      <c r="A95">
        <v>10094</v>
      </c>
      <c r="B95" t="s">
        <v>86</v>
      </c>
      <c r="C95" t="s">
        <v>174</v>
      </c>
      <c r="D95" t="s">
        <v>192</v>
      </c>
      <c r="E95" t="s">
        <v>204</v>
      </c>
      <c r="F95">
        <v>44</v>
      </c>
      <c r="G95">
        <v>55000</v>
      </c>
      <c r="H95" t="s">
        <v>226</v>
      </c>
    </row>
    <row r="96" spans="1:8" x14ac:dyDescent="0.3">
      <c r="A96">
        <v>10095</v>
      </c>
      <c r="B96" t="s">
        <v>45</v>
      </c>
      <c r="C96" t="s">
        <v>186</v>
      </c>
      <c r="D96" t="s">
        <v>191</v>
      </c>
      <c r="E96" t="s">
        <v>208</v>
      </c>
      <c r="F96">
        <v>20</v>
      </c>
      <c r="G96">
        <v>50000</v>
      </c>
      <c r="H96" t="s">
        <v>225</v>
      </c>
    </row>
    <row r="97" spans="1:8" x14ac:dyDescent="0.3">
      <c r="A97">
        <v>10096</v>
      </c>
      <c r="B97" t="s">
        <v>87</v>
      </c>
      <c r="C97" t="s">
        <v>175</v>
      </c>
      <c r="D97" t="s">
        <v>192</v>
      </c>
      <c r="E97" t="s">
        <v>205</v>
      </c>
      <c r="F97">
        <v>22</v>
      </c>
      <c r="G97">
        <v>50000</v>
      </c>
      <c r="H97" t="s">
        <v>231</v>
      </c>
    </row>
    <row r="98" spans="1:8" x14ac:dyDescent="0.3">
      <c r="A98">
        <v>10097</v>
      </c>
      <c r="B98" t="s">
        <v>88</v>
      </c>
      <c r="C98" t="s">
        <v>175</v>
      </c>
      <c r="D98" t="s">
        <v>197</v>
      </c>
      <c r="E98" t="s">
        <v>204</v>
      </c>
      <c r="F98">
        <v>38</v>
      </c>
      <c r="G98">
        <v>30000</v>
      </c>
      <c r="H98" t="s">
        <v>228</v>
      </c>
    </row>
    <row r="99" spans="1:8" x14ac:dyDescent="0.3">
      <c r="A99">
        <v>10098</v>
      </c>
      <c r="B99" t="s">
        <v>89</v>
      </c>
      <c r="C99" t="s">
        <v>182</v>
      </c>
      <c r="D99" t="s">
        <v>198</v>
      </c>
      <c r="E99" t="s">
        <v>208</v>
      </c>
      <c r="F99">
        <v>32</v>
      </c>
      <c r="G99">
        <v>45000</v>
      </c>
      <c r="H99" t="s">
        <v>229</v>
      </c>
    </row>
    <row r="100" spans="1:8" x14ac:dyDescent="0.3">
      <c r="A100">
        <v>10099</v>
      </c>
      <c r="B100" t="s">
        <v>67</v>
      </c>
      <c r="C100" t="s">
        <v>181</v>
      </c>
      <c r="D100" t="s">
        <v>188</v>
      </c>
      <c r="E100" t="s">
        <v>201</v>
      </c>
      <c r="F100">
        <v>50</v>
      </c>
      <c r="G100">
        <v>65000</v>
      </c>
      <c r="H100" t="s">
        <v>231</v>
      </c>
    </row>
    <row r="101" spans="1:8" x14ac:dyDescent="0.3">
      <c r="A101">
        <v>10100</v>
      </c>
      <c r="B101" t="s">
        <v>90</v>
      </c>
      <c r="C101" t="s">
        <v>176</v>
      </c>
      <c r="D101" t="s">
        <v>195</v>
      </c>
      <c r="E101" t="s">
        <v>209</v>
      </c>
      <c r="F101">
        <v>31</v>
      </c>
      <c r="G101" t="s">
        <v>217</v>
      </c>
      <c r="H101" t="s">
        <v>229</v>
      </c>
    </row>
    <row r="102" spans="1:8" x14ac:dyDescent="0.3">
      <c r="A102">
        <v>10101</v>
      </c>
      <c r="B102" t="s">
        <v>57</v>
      </c>
      <c r="C102" t="s">
        <v>182</v>
      </c>
      <c r="D102" t="s">
        <v>187</v>
      </c>
      <c r="E102" t="s">
        <v>210</v>
      </c>
      <c r="F102">
        <v>36</v>
      </c>
      <c r="G102">
        <v>60000</v>
      </c>
      <c r="H102" t="s">
        <v>231</v>
      </c>
    </row>
    <row r="103" spans="1:8" x14ac:dyDescent="0.3">
      <c r="A103">
        <v>10102</v>
      </c>
      <c r="B103" t="s">
        <v>88</v>
      </c>
      <c r="C103" t="s">
        <v>182</v>
      </c>
      <c r="D103" t="s">
        <v>188</v>
      </c>
      <c r="E103" t="s">
        <v>209</v>
      </c>
      <c r="F103">
        <v>58</v>
      </c>
      <c r="G103">
        <v>55000</v>
      </c>
      <c r="H103" t="s">
        <v>225</v>
      </c>
    </row>
    <row r="104" spans="1:8" x14ac:dyDescent="0.3">
      <c r="A104">
        <v>10103</v>
      </c>
      <c r="B104" t="s">
        <v>90</v>
      </c>
      <c r="C104" t="s">
        <v>186</v>
      </c>
      <c r="D104" t="s">
        <v>188</v>
      </c>
      <c r="E104" t="s">
        <v>203</v>
      </c>
      <c r="F104">
        <v>49</v>
      </c>
      <c r="G104">
        <v>90000</v>
      </c>
      <c r="H104" t="s">
        <v>226</v>
      </c>
    </row>
    <row r="105" spans="1:8" x14ac:dyDescent="0.3">
      <c r="A105">
        <v>10104</v>
      </c>
      <c r="B105" t="s">
        <v>91</v>
      </c>
      <c r="C105" t="s">
        <v>178</v>
      </c>
      <c r="D105" t="s">
        <v>196</v>
      </c>
      <c r="E105" t="s">
        <v>207</v>
      </c>
      <c r="F105">
        <v>43</v>
      </c>
      <c r="G105">
        <v>60000</v>
      </c>
      <c r="H105" t="s">
        <v>224</v>
      </c>
    </row>
    <row r="106" spans="1:8" x14ac:dyDescent="0.3">
      <c r="A106">
        <v>10105</v>
      </c>
      <c r="B106" t="s">
        <v>92</v>
      </c>
      <c r="C106" t="s">
        <v>175</v>
      </c>
      <c r="D106" t="s">
        <v>189</v>
      </c>
      <c r="E106" t="s">
        <v>202</v>
      </c>
      <c r="F106">
        <v>29</v>
      </c>
      <c r="G106" t="s">
        <v>218</v>
      </c>
      <c r="H106" t="s">
        <v>230</v>
      </c>
    </row>
    <row r="107" spans="1:8" x14ac:dyDescent="0.3">
      <c r="A107">
        <v>10106</v>
      </c>
      <c r="B107" t="s">
        <v>93</v>
      </c>
      <c r="C107" t="s">
        <v>177</v>
      </c>
      <c r="D107" t="s">
        <v>199</v>
      </c>
      <c r="E107" t="s">
        <v>200</v>
      </c>
      <c r="F107">
        <v>24</v>
      </c>
      <c r="G107">
        <v>35000</v>
      </c>
      <c r="H107" t="s">
        <v>229</v>
      </c>
    </row>
    <row r="108" spans="1:8" x14ac:dyDescent="0.3">
      <c r="A108">
        <v>10107</v>
      </c>
      <c r="B108" t="s">
        <v>94</v>
      </c>
      <c r="C108" t="s">
        <v>178</v>
      </c>
      <c r="D108" t="s">
        <v>190</v>
      </c>
      <c r="F108">
        <v>35</v>
      </c>
      <c r="G108">
        <v>90000</v>
      </c>
      <c r="H108" t="s">
        <v>229</v>
      </c>
    </row>
    <row r="109" spans="1:8" x14ac:dyDescent="0.3">
      <c r="A109">
        <v>10108</v>
      </c>
      <c r="B109" t="s">
        <v>95</v>
      </c>
      <c r="C109" t="s">
        <v>180</v>
      </c>
      <c r="D109" t="s">
        <v>194</v>
      </c>
      <c r="E109" t="s">
        <v>202</v>
      </c>
      <c r="F109">
        <v>44</v>
      </c>
      <c r="G109">
        <v>40000</v>
      </c>
      <c r="H109" t="s">
        <v>225</v>
      </c>
    </row>
    <row r="110" spans="1:8" x14ac:dyDescent="0.3">
      <c r="A110">
        <v>10109</v>
      </c>
      <c r="B110" t="s">
        <v>53</v>
      </c>
      <c r="C110" t="s">
        <v>173</v>
      </c>
      <c r="D110" t="s">
        <v>197</v>
      </c>
      <c r="E110" t="s">
        <v>208</v>
      </c>
      <c r="F110">
        <v>38</v>
      </c>
      <c r="G110">
        <v>50000</v>
      </c>
      <c r="H110" t="s">
        <v>228</v>
      </c>
    </row>
    <row r="111" spans="1:8" x14ac:dyDescent="0.3">
      <c r="A111">
        <v>10110</v>
      </c>
      <c r="B111" t="s">
        <v>17</v>
      </c>
      <c r="C111" t="s">
        <v>173</v>
      </c>
      <c r="D111" t="s">
        <v>196</v>
      </c>
      <c r="E111" t="s">
        <v>206</v>
      </c>
      <c r="F111">
        <v>25</v>
      </c>
      <c r="G111">
        <v>30000</v>
      </c>
      <c r="H111" t="s">
        <v>228</v>
      </c>
    </row>
    <row r="112" spans="1:8" x14ac:dyDescent="0.3">
      <c r="A112">
        <v>10111</v>
      </c>
      <c r="B112" t="s">
        <v>96</v>
      </c>
      <c r="C112" t="s">
        <v>182</v>
      </c>
      <c r="D112" t="s">
        <v>188</v>
      </c>
      <c r="E112" t="s">
        <v>207</v>
      </c>
      <c r="F112">
        <v>33</v>
      </c>
      <c r="G112">
        <v>80000</v>
      </c>
      <c r="H112" t="s">
        <v>228</v>
      </c>
    </row>
    <row r="113" spans="1:8" x14ac:dyDescent="0.3">
      <c r="A113">
        <v>10112</v>
      </c>
      <c r="B113" t="s">
        <v>97</v>
      </c>
      <c r="C113" t="s">
        <v>178</v>
      </c>
      <c r="D113" t="s">
        <v>191</v>
      </c>
      <c r="E113" t="s">
        <v>205</v>
      </c>
      <c r="F113">
        <v>49</v>
      </c>
      <c r="G113">
        <v>90000</v>
      </c>
      <c r="H113" t="s">
        <v>231</v>
      </c>
    </row>
    <row r="114" spans="1:8" x14ac:dyDescent="0.3">
      <c r="A114">
        <v>10113</v>
      </c>
      <c r="B114" t="s">
        <v>98</v>
      </c>
      <c r="C114" t="s">
        <v>179</v>
      </c>
      <c r="D114" t="s">
        <v>199</v>
      </c>
      <c r="E114" t="s">
        <v>207</v>
      </c>
      <c r="F114">
        <v>27</v>
      </c>
      <c r="G114">
        <v>30000</v>
      </c>
      <c r="H114" t="s">
        <v>226</v>
      </c>
    </row>
    <row r="115" spans="1:8" x14ac:dyDescent="0.3">
      <c r="A115">
        <v>10114</v>
      </c>
      <c r="B115" t="s">
        <v>99</v>
      </c>
      <c r="C115" t="s">
        <v>176</v>
      </c>
      <c r="D115" t="s">
        <v>197</v>
      </c>
      <c r="E115" t="s">
        <v>201</v>
      </c>
      <c r="F115">
        <v>42</v>
      </c>
      <c r="G115">
        <v>65000</v>
      </c>
      <c r="H115" t="s">
        <v>224</v>
      </c>
    </row>
    <row r="116" spans="1:8" x14ac:dyDescent="0.3">
      <c r="A116">
        <v>10115</v>
      </c>
      <c r="B116" t="s">
        <v>100</v>
      </c>
      <c r="C116" t="s">
        <v>182</v>
      </c>
      <c r="D116" t="s">
        <v>187</v>
      </c>
      <c r="E116" t="s">
        <v>200</v>
      </c>
      <c r="F116">
        <v>26</v>
      </c>
      <c r="G116">
        <v>40000</v>
      </c>
      <c r="H116" t="s">
        <v>231</v>
      </c>
    </row>
    <row r="117" spans="1:8" x14ac:dyDescent="0.3">
      <c r="A117">
        <v>10116</v>
      </c>
      <c r="B117" t="s">
        <v>14</v>
      </c>
      <c r="C117" t="s">
        <v>179</v>
      </c>
      <c r="D117" t="s">
        <v>196</v>
      </c>
      <c r="E117" t="s">
        <v>208</v>
      </c>
      <c r="F117">
        <v>34</v>
      </c>
      <c r="G117">
        <v>70000</v>
      </c>
      <c r="H117" t="s">
        <v>231</v>
      </c>
    </row>
    <row r="118" spans="1:8" x14ac:dyDescent="0.3">
      <c r="A118">
        <v>10001</v>
      </c>
      <c r="B118" t="s">
        <v>59</v>
      </c>
      <c r="C118" t="s">
        <v>183</v>
      </c>
      <c r="D118" t="s">
        <v>191</v>
      </c>
      <c r="E118" t="s">
        <v>207</v>
      </c>
      <c r="F118">
        <v>58</v>
      </c>
      <c r="G118">
        <v>55000</v>
      </c>
      <c r="H118" t="s">
        <v>224</v>
      </c>
    </row>
    <row r="119" spans="1:8" x14ac:dyDescent="0.3">
      <c r="A119">
        <v>10118</v>
      </c>
      <c r="B119" t="s">
        <v>101</v>
      </c>
      <c r="C119" t="s">
        <v>185</v>
      </c>
      <c r="D119" t="s">
        <v>189</v>
      </c>
      <c r="E119" t="s">
        <v>202</v>
      </c>
      <c r="F119">
        <v>44</v>
      </c>
      <c r="G119">
        <v>45000</v>
      </c>
      <c r="H119" t="s">
        <v>224</v>
      </c>
    </row>
    <row r="120" spans="1:8" x14ac:dyDescent="0.3">
      <c r="A120">
        <v>10119</v>
      </c>
      <c r="B120" t="s">
        <v>49</v>
      </c>
      <c r="C120" t="s">
        <v>173</v>
      </c>
      <c r="D120" t="s">
        <v>188</v>
      </c>
      <c r="E120" t="s">
        <v>202</v>
      </c>
      <c r="F120">
        <v>41</v>
      </c>
      <c r="G120">
        <v>35000</v>
      </c>
      <c r="H120" t="s">
        <v>231</v>
      </c>
    </row>
    <row r="121" spans="1:8" x14ac:dyDescent="0.3">
      <c r="A121">
        <v>10120</v>
      </c>
      <c r="B121" t="s">
        <v>102</v>
      </c>
      <c r="C121" t="s">
        <v>185</v>
      </c>
      <c r="D121" t="s">
        <v>193</v>
      </c>
      <c r="E121" t="s">
        <v>208</v>
      </c>
      <c r="F121">
        <v>60</v>
      </c>
      <c r="G121">
        <v>50000</v>
      </c>
      <c r="H121" t="s">
        <v>229</v>
      </c>
    </row>
    <row r="122" spans="1:8" x14ac:dyDescent="0.3">
      <c r="A122">
        <v>10121</v>
      </c>
      <c r="B122" t="s">
        <v>103</v>
      </c>
      <c r="C122" t="s">
        <v>186</v>
      </c>
      <c r="D122" t="s">
        <v>187</v>
      </c>
      <c r="E122" t="s">
        <v>200</v>
      </c>
      <c r="F122">
        <v>25</v>
      </c>
      <c r="G122">
        <v>50000</v>
      </c>
      <c r="H122" t="s">
        <v>230</v>
      </c>
    </row>
    <row r="123" spans="1:8" x14ac:dyDescent="0.3">
      <c r="A123">
        <v>10122</v>
      </c>
      <c r="B123" t="s">
        <v>104</v>
      </c>
      <c r="C123" t="s">
        <v>176</v>
      </c>
      <c r="D123" t="s">
        <v>192</v>
      </c>
      <c r="E123" t="s">
        <v>205</v>
      </c>
      <c r="F123">
        <v>25</v>
      </c>
      <c r="G123">
        <v>60000</v>
      </c>
      <c r="H123" t="s">
        <v>225</v>
      </c>
    </row>
    <row r="124" spans="1:8" x14ac:dyDescent="0.3">
      <c r="A124">
        <v>10123</v>
      </c>
      <c r="B124" t="s">
        <v>105</v>
      </c>
      <c r="C124" t="s">
        <v>183</v>
      </c>
      <c r="D124" t="s">
        <v>191</v>
      </c>
      <c r="E124" t="s">
        <v>211</v>
      </c>
      <c r="F124">
        <v>22</v>
      </c>
      <c r="G124">
        <v>40000</v>
      </c>
      <c r="H124" t="s">
        <v>231</v>
      </c>
    </row>
    <row r="125" spans="1:8" x14ac:dyDescent="0.3">
      <c r="A125">
        <v>10124</v>
      </c>
      <c r="B125" t="s">
        <v>18</v>
      </c>
      <c r="C125" t="s">
        <v>180</v>
      </c>
      <c r="D125" t="s">
        <v>194</v>
      </c>
      <c r="E125" t="s">
        <v>205</v>
      </c>
      <c r="F125">
        <v>21</v>
      </c>
      <c r="G125">
        <v>45000</v>
      </c>
      <c r="H125" t="s">
        <v>227</v>
      </c>
    </row>
    <row r="126" spans="1:8" x14ac:dyDescent="0.3">
      <c r="A126">
        <v>10125</v>
      </c>
      <c r="B126" t="s">
        <v>106</v>
      </c>
      <c r="C126" t="s">
        <v>176</v>
      </c>
      <c r="D126" t="s">
        <v>196</v>
      </c>
      <c r="E126" t="s">
        <v>207</v>
      </c>
      <c r="F126">
        <v>49</v>
      </c>
      <c r="G126">
        <v>65000</v>
      </c>
      <c r="H126" t="s">
        <v>229</v>
      </c>
    </row>
    <row r="127" spans="1:8" x14ac:dyDescent="0.3">
      <c r="A127">
        <v>10126</v>
      </c>
      <c r="B127" t="s">
        <v>55</v>
      </c>
      <c r="C127" t="s">
        <v>186</v>
      </c>
      <c r="D127" t="s">
        <v>187</v>
      </c>
      <c r="E127" t="s">
        <v>200</v>
      </c>
      <c r="F127">
        <v>45</v>
      </c>
      <c r="G127">
        <v>40000</v>
      </c>
      <c r="H127" t="s">
        <v>228</v>
      </c>
    </row>
    <row r="128" spans="1:8" x14ac:dyDescent="0.3">
      <c r="A128">
        <v>10127</v>
      </c>
      <c r="B128" t="s">
        <v>57</v>
      </c>
      <c r="C128" t="s">
        <v>176</v>
      </c>
      <c r="D128" t="s">
        <v>197</v>
      </c>
      <c r="E128" t="s">
        <v>205</v>
      </c>
      <c r="F128">
        <v>23</v>
      </c>
      <c r="G128">
        <v>40000</v>
      </c>
      <c r="H128" t="s">
        <v>227</v>
      </c>
    </row>
    <row r="129" spans="1:8" x14ac:dyDescent="0.3">
      <c r="A129">
        <v>10128</v>
      </c>
      <c r="B129" t="s">
        <v>44</v>
      </c>
      <c r="C129" t="s">
        <v>185</v>
      </c>
      <c r="D129" t="s">
        <v>193</v>
      </c>
      <c r="E129" t="s">
        <v>207</v>
      </c>
      <c r="F129">
        <v>45</v>
      </c>
      <c r="G129">
        <v>55000</v>
      </c>
      <c r="H129" t="s">
        <v>228</v>
      </c>
    </row>
    <row r="130" spans="1:8" x14ac:dyDescent="0.3">
      <c r="A130">
        <v>10129</v>
      </c>
      <c r="B130" t="s">
        <v>106</v>
      </c>
      <c r="C130" t="s">
        <v>173</v>
      </c>
      <c r="D130" t="s">
        <v>187</v>
      </c>
      <c r="E130" t="s">
        <v>208</v>
      </c>
      <c r="F130">
        <v>52</v>
      </c>
      <c r="G130">
        <v>55000</v>
      </c>
      <c r="H130" t="s">
        <v>224</v>
      </c>
    </row>
    <row r="131" spans="1:8" x14ac:dyDescent="0.3">
      <c r="A131">
        <v>10001</v>
      </c>
      <c r="B131" t="s">
        <v>107</v>
      </c>
      <c r="C131" t="s">
        <v>183</v>
      </c>
      <c r="D131" t="s">
        <v>197</v>
      </c>
      <c r="E131" t="s">
        <v>201</v>
      </c>
      <c r="F131">
        <v>21</v>
      </c>
      <c r="G131">
        <v>65000</v>
      </c>
      <c r="H131" t="s">
        <v>224</v>
      </c>
    </row>
    <row r="132" spans="1:8" x14ac:dyDescent="0.3">
      <c r="A132">
        <v>10131</v>
      </c>
      <c r="B132" t="s">
        <v>40</v>
      </c>
      <c r="C132" t="s">
        <v>175</v>
      </c>
      <c r="D132" t="s">
        <v>191</v>
      </c>
      <c r="E132" t="s">
        <v>207</v>
      </c>
      <c r="F132">
        <v>28</v>
      </c>
      <c r="G132">
        <v>90000</v>
      </c>
      <c r="H132" t="s">
        <v>231</v>
      </c>
    </row>
    <row r="133" spans="1:8" x14ac:dyDescent="0.3">
      <c r="A133">
        <v>10132</v>
      </c>
      <c r="B133" t="s">
        <v>108</v>
      </c>
      <c r="C133" t="s">
        <v>184</v>
      </c>
      <c r="D133" t="s">
        <v>198</v>
      </c>
      <c r="E133" t="s">
        <v>206</v>
      </c>
      <c r="F133">
        <v>33</v>
      </c>
      <c r="G133">
        <v>50000</v>
      </c>
      <c r="H133" t="s">
        <v>225</v>
      </c>
    </row>
    <row r="134" spans="1:8" x14ac:dyDescent="0.3">
      <c r="A134">
        <v>10133</v>
      </c>
      <c r="B134" t="s">
        <v>109</v>
      </c>
      <c r="C134" t="s">
        <v>186</v>
      </c>
      <c r="D134" t="s">
        <v>193</v>
      </c>
      <c r="E134" t="s">
        <v>208</v>
      </c>
      <c r="F134">
        <v>54</v>
      </c>
      <c r="G134">
        <v>30000</v>
      </c>
      <c r="H134" t="s">
        <v>225</v>
      </c>
    </row>
    <row r="135" spans="1:8" x14ac:dyDescent="0.3">
      <c r="A135">
        <v>10134</v>
      </c>
      <c r="B135" t="s">
        <v>110</v>
      </c>
      <c r="C135" t="s">
        <v>175</v>
      </c>
      <c r="D135" t="s">
        <v>193</v>
      </c>
      <c r="E135" t="s">
        <v>208</v>
      </c>
      <c r="F135">
        <v>40</v>
      </c>
      <c r="G135" t="s">
        <v>219</v>
      </c>
      <c r="H135" t="s">
        <v>228</v>
      </c>
    </row>
    <row r="136" spans="1:8" x14ac:dyDescent="0.3">
      <c r="A136">
        <v>10135</v>
      </c>
      <c r="B136" t="s">
        <v>111</v>
      </c>
      <c r="C136" t="s">
        <v>182</v>
      </c>
      <c r="D136" t="s">
        <v>199</v>
      </c>
      <c r="E136" t="s">
        <v>210</v>
      </c>
      <c r="F136">
        <v>44</v>
      </c>
      <c r="G136">
        <v>35000</v>
      </c>
      <c r="H136" t="s">
        <v>225</v>
      </c>
    </row>
    <row r="137" spans="1:8" x14ac:dyDescent="0.3">
      <c r="A137">
        <v>10136</v>
      </c>
      <c r="B137" t="s">
        <v>112</v>
      </c>
      <c r="C137" t="s">
        <v>181</v>
      </c>
      <c r="D137" t="s">
        <v>195</v>
      </c>
      <c r="E137" t="s">
        <v>205</v>
      </c>
      <c r="F137">
        <v>52</v>
      </c>
      <c r="G137">
        <v>60000</v>
      </c>
      <c r="H137" t="s">
        <v>231</v>
      </c>
    </row>
    <row r="138" spans="1:8" x14ac:dyDescent="0.3">
      <c r="A138">
        <v>10137</v>
      </c>
      <c r="B138" t="s">
        <v>113</v>
      </c>
      <c r="C138" t="s">
        <v>178</v>
      </c>
      <c r="D138" t="s">
        <v>198</v>
      </c>
      <c r="E138" t="s">
        <v>207</v>
      </c>
      <c r="F138">
        <v>21</v>
      </c>
      <c r="G138">
        <v>50000</v>
      </c>
      <c r="H138" t="s">
        <v>225</v>
      </c>
    </row>
    <row r="139" spans="1:8" x14ac:dyDescent="0.3">
      <c r="A139">
        <v>10138</v>
      </c>
      <c r="B139" t="s">
        <v>114</v>
      </c>
      <c r="C139" t="s">
        <v>183</v>
      </c>
      <c r="D139" t="s">
        <v>195</v>
      </c>
      <c r="E139" t="s">
        <v>205</v>
      </c>
      <c r="F139">
        <v>25</v>
      </c>
      <c r="G139">
        <v>40000</v>
      </c>
      <c r="H139" t="s">
        <v>231</v>
      </c>
    </row>
    <row r="140" spans="1:8" x14ac:dyDescent="0.3">
      <c r="A140">
        <v>10139</v>
      </c>
      <c r="B140" t="s">
        <v>77</v>
      </c>
      <c r="C140" t="s">
        <v>179</v>
      </c>
      <c r="D140" t="s">
        <v>199</v>
      </c>
      <c r="E140" t="s">
        <v>207</v>
      </c>
      <c r="F140">
        <v>49</v>
      </c>
      <c r="G140">
        <v>60000</v>
      </c>
      <c r="H140" t="s">
        <v>226</v>
      </c>
    </row>
    <row r="141" spans="1:8" x14ac:dyDescent="0.3">
      <c r="A141">
        <v>10140</v>
      </c>
      <c r="B141" t="s">
        <v>115</v>
      </c>
      <c r="C141" t="s">
        <v>178</v>
      </c>
      <c r="D141" t="s">
        <v>198</v>
      </c>
      <c r="E141" t="s">
        <v>206</v>
      </c>
      <c r="F141">
        <v>17</v>
      </c>
      <c r="G141">
        <v>60000</v>
      </c>
      <c r="H141" t="s">
        <v>230</v>
      </c>
    </row>
    <row r="142" spans="1:8" x14ac:dyDescent="0.3">
      <c r="A142">
        <v>10141</v>
      </c>
      <c r="B142" t="s">
        <v>83</v>
      </c>
      <c r="C142" t="s">
        <v>186</v>
      </c>
      <c r="D142" t="s">
        <v>197</v>
      </c>
      <c r="E142" t="s">
        <v>206</v>
      </c>
      <c r="F142">
        <v>29</v>
      </c>
      <c r="G142">
        <v>30000</v>
      </c>
      <c r="H142" t="s">
        <v>229</v>
      </c>
    </row>
    <row r="143" spans="1:8" x14ac:dyDescent="0.3">
      <c r="A143">
        <v>10142</v>
      </c>
      <c r="B143" t="s">
        <v>116</v>
      </c>
      <c r="C143" t="s">
        <v>173</v>
      </c>
      <c r="D143" t="s">
        <v>194</v>
      </c>
      <c r="E143" t="s">
        <v>202</v>
      </c>
      <c r="F143">
        <v>34</v>
      </c>
      <c r="G143">
        <v>65000</v>
      </c>
      <c r="H143" t="s">
        <v>228</v>
      </c>
    </row>
    <row r="144" spans="1:8" x14ac:dyDescent="0.3">
      <c r="A144">
        <v>10143</v>
      </c>
      <c r="B144" t="s">
        <v>117</v>
      </c>
      <c r="C144" t="s">
        <v>177</v>
      </c>
      <c r="D144" t="s">
        <v>189</v>
      </c>
      <c r="E144" t="s">
        <v>203</v>
      </c>
      <c r="F144">
        <v>46</v>
      </c>
      <c r="G144">
        <v>40000</v>
      </c>
      <c r="H144" t="s">
        <v>226</v>
      </c>
    </row>
    <row r="145" spans="1:8" x14ac:dyDescent="0.3">
      <c r="A145">
        <v>10144</v>
      </c>
      <c r="B145" t="s">
        <v>118</v>
      </c>
      <c r="C145" t="s">
        <v>179</v>
      </c>
      <c r="D145" t="s">
        <v>187</v>
      </c>
      <c r="E145" t="s">
        <v>209</v>
      </c>
      <c r="F145">
        <v>24</v>
      </c>
      <c r="G145">
        <v>45000</v>
      </c>
      <c r="H145" t="s">
        <v>226</v>
      </c>
    </row>
    <row r="146" spans="1:8" x14ac:dyDescent="0.3">
      <c r="A146">
        <v>10145</v>
      </c>
      <c r="B146" t="s">
        <v>119</v>
      </c>
      <c r="C146" t="s">
        <v>176</v>
      </c>
      <c r="D146" t="s">
        <v>196</v>
      </c>
      <c r="E146" t="s">
        <v>200</v>
      </c>
      <c r="F146">
        <v>42</v>
      </c>
      <c r="G146">
        <v>80000</v>
      </c>
      <c r="H146" t="s">
        <v>229</v>
      </c>
    </row>
    <row r="147" spans="1:8" x14ac:dyDescent="0.3">
      <c r="A147">
        <v>10146</v>
      </c>
      <c r="B147" t="s">
        <v>27</v>
      </c>
      <c r="C147" t="s">
        <v>173</v>
      </c>
      <c r="D147" t="s">
        <v>194</v>
      </c>
      <c r="E147" t="s">
        <v>203</v>
      </c>
      <c r="F147">
        <v>44</v>
      </c>
      <c r="G147">
        <v>30000</v>
      </c>
      <c r="H147" t="s">
        <v>231</v>
      </c>
    </row>
    <row r="148" spans="1:8" x14ac:dyDescent="0.3">
      <c r="A148">
        <v>10147</v>
      </c>
      <c r="B148" t="s">
        <v>42</v>
      </c>
      <c r="C148" t="s">
        <v>180</v>
      </c>
      <c r="D148" t="s">
        <v>192</v>
      </c>
      <c r="E148" t="s">
        <v>200</v>
      </c>
      <c r="F148">
        <v>56</v>
      </c>
      <c r="G148">
        <v>65000</v>
      </c>
      <c r="H148" t="s">
        <v>231</v>
      </c>
    </row>
    <row r="149" spans="1:8" x14ac:dyDescent="0.3">
      <c r="A149">
        <v>10148</v>
      </c>
      <c r="B149" t="s">
        <v>93</v>
      </c>
      <c r="C149" t="s">
        <v>177</v>
      </c>
      <c r="D149" t="s">
        <v>197</v>
      </c>
      <c r="E149" t="s">
        <v>210</v>
      </c>
      <c r="F149">
        <v>48</v>
      </c>
      <c r="G149" t="s">
        <v>215</v>
      </c>
      <c r="H149" t="s">
        <v>230</v>
      </c>
    </row>
    <row r="150" spans="1:8" x14ac:dyDescent="0.3">
      <c r="A150">
        <v>10149</v>
      </c>
      <c r="B150" t="s">
        <v>120</v>
      </c>
      <c r="C150" t="s">
        <v>185</v>
      </c>
      <c r="D150" t="s">
        <v>192</v>
      </c>
      <c r="E150" t="s">
        <v>206</v>
      </c>
      <c r="F150">
        <v>45</v>
      </c>
      <c r="G150" t="s">
        <v>216</v>
      </c>
      <c r="H150" t="s">
        <v>229</v>
      </c>
    </row>
    <row r="151" spans="1:8" x14ac:dyDescent="0.3">
      <c r="A151">
        <v>10150</v>
      </c>
      <c r="B151" t="s">
        <v>121</v>
      </c>
      <c r="C151" t="s">
        <v>183</v>
      </c>
      <c r="D151" t="s">
        <v>195</v>
      </c>
      <c r="E151" t="s">
        <v>200</v>
      </c>
      <c r="F151">
        <v>34</v>
      </c>
      <c r="G151">
        <v>50000</v>
      </c>
      <c r="H151" t="s">
        <v>231</v>
      </c>
    </row>
    <row r="152" spans="1:8" x14ac:dyDescent="0.3">
      <c r="A152">
        <v>10151</v>
      </c>
      <c r="B152" t="s">
        <v>122</v>
      </c>
      <c r="C152" t="s">
        <v>178</v>
      </c>
      <c r="D152" t="s">
        <v>197</v>
      </c>
      <c r="E152" t="s">
        <v>202</v>
      </c>
      <c r="F152">
        <v>45</v>
      </c>
      <c r="G152">
        <v>70000</v>
      </c>
      <c r="H152" t="s">
        <v>226</v>
      </c>
    </row>
    <row r="153" spans="1:8" x14ac:dyDescent="0.3">
      <c r="A153">
        <v>10152</v>
      </c>
      <c r="B153" t="s">
        <v>28</v>
      </c>
      <c r="C153" t="s">
        <v>179</v>
      </c>
      <c r="D153" t="s">
        <v>187</v>
      </c>
      <c r="F153">
        <v>21</v>
      </c>
      <c r="G153">
        <v>60000</v>
      </c>
      <c r="H153" t="s">
        <v>224</v>
      </c>
    </row>
    <row r="154" spans="1:8" x14ac:dyDescent="0.3">
      <c r="A154">
        <v>10153</v>
      </c>
      <c r="B154" t="s">
        <v>66</v>
      </c>
      <c r="C154" t="s">
        <v>174</v>
      </c>
      <c r="D154" t="s">
        <v>187</v>
      </c>
      <c r="E154" t="s">
        <v>201</v>
      </c>
      <c r="G154">
        <v>70000</v>
      </c>
      <c r="H154" t="s">
        <v>231</v>
      </c>
    </row>
    <row r="155" spans="1:8" x14ac:dyDescent="0.3">
      <c r="A155">
        <v>10154</v>
      </c>
      <c r="B155" t="s">
        <v>123</v>
      </c>
      <c r="C155" t="s">
        <v>175</v>
      </c>
      <c r="D155" t="s">
        <v>194</v>
      </c>
      <c r="E155" t="s">
        <v>207</v>
      </c>
      <c r="F155">
        <v>48</v>
      </c>
      <c r="G155">
        <v>90000</v>
      </c>
      <c r="H155" t="s">
        <v>229</v>
      </c>
    </row>
    <row r="156" spans="1:8" x14ac:dyDescent="0.3">
      <c r="A156">
        <v>10155</v>
      </c>
      <c r="B156" t="s">
        <v>85</v>
      </c>
      <c r="C156" t="s">
        <v>185</v>
      </c>
      <c r="D156" t="s">
        <v>190</v>
      </c>
      <c r="E156" t="s">
        <v>207</v>
      </c>
      <c r="F156">
        <v>39</v>
      </c>
      <c r="G156">
        <v>70000</v>
      </c>
      <c r="H156" t="s">
        <v>230</v>
      </c>
    </row>
    <row r="157" spans="1:8" x14ac:dyDescent="0.3">
      <c r="A157">
        <v>10156</v>
      </c>
      <c r="B157" t="s">
        <v>123</v>
      </c>
      <c r="C157" t="s">
        <v>176</v>
      </c>
      <c r="D157" t="s">
        <v>193</v>
      </c>
      <c r="E157" t="s">
        <v>200</v>
      </c>
      <c r="F157">
        <v>26</v>
      </c>
      <c r="G157">
        <v>30000</v>
      </c>
      <c r="H157" t="s">
        <v>225</v>
      </c>
    </row>
    <row r="158" spans="1:8" x14ac:dyDescent="0.3">
      <c r="A158">
        <v>10157</v>
      </c>
      <c r="B158" t="s">
        <v>124</v>
      </c>
      <c r="C158" t="s">
        <v>184</v>
      </c>
      <c r="D158" t="s">
        <v>187</v>
      </c>
      <c r="E158" t="s">
        <v>200</v>
      </c>
      <c r="F158">
        <v>38</v>
      </c>
      <c r="G158">
        <v>30000</v>
      </c>
      <c r="H158" t="s">
        <v>228</v>
      </c>
    </row>
    <row r="159" spans="1:8" x14ac:dyDescent="0.3">
      <c r="A159">
        <v>10158</v>
      </c>
      <c r="B159" t="s">
        <v>95</v>
      </c>
      <c r="C159" t="s">
        <v>184</v>
      </c>
      <c r="D159" t="s">
        <v>188</v>
      </c>
      <c r="E159" t="s">
        <v>207</v>
      </c>
      <c r="F159">
        <v>33</v>
      </c>
      <c r="G159">
        <v>40000</v>
      </c>
      <c r="H159" t="s">
        <v>231</v>
      </c>
    </row>
    <row r="160" spans="1:8" x14ac:dyDescent="0.3">
      <c r="A160">
        <v>10159</v>
      </c>
      <c r="B160" t="s">
        <v>43</v>
      </c>
      <c r="C160" t="s">
        <v>176</v>
      </c>
      <c r="D160" t="s">
        <v>193</v>
      </c>
      <c r="E160" t="s">
        <v>207</v>
      </c>
      <c r="F160">
        <v>49</v>
      </c>
      <c r="G160">
        <v>55000</v>
      </c>
      <c r="H160" t="s">
        <v>226</v>
      </c>
    </row>
    <row r="161" spans="1:8" x14ac:dyDescent="0.3">
      <c r="A161">
        <v>10160</v>
      </c>
      <c r="B161" t="s">
        <v>64</v>
      </c>
      <c r="C161" t="s">
        <v>181</v>
      </c>
      <c r="D161" t="s">
        <v>189</v>
      </c>
      <c r="E161" t="s">
        <v>211</v>
      </c>
      <c r="F161">
        <v>58</v>
      </c>
      <c r="G161">
        <v>40000</v>
      </c>
      <c r="H161" t="s">
        <v>225</v>
      </c>
    </row>
    <row r="162" spans="1:8" x14ac:dyDescent="0.3">
      <c r="A162">
        <v>10161</v>
      </c>
      <c r="B162" t="s">
        <v>68</v>
      </c>
      <c r="C162" t="s">
        <v>184</v>
      </c>
      <c r="D162" t="s">
        <v>188</v>
      </c>
      <c r="E162" t="s">
        <v>201</v>
      </c>
      <c r="F162">
        <v>52</v>
      </c>
      <c r="G162">
        <v>60000</v>
      </c>
      <c r="H162" t="s">
        <v>231</v>
      </c>
    </row>
    <row r="163" spans="1:8" x14ac:dyDescent="0.3">
      <c r="A163">
        <v>10162</v>
      </c>
      <c r="B163" t="s">
        <v>39</v>
      </c>
      <c r="C163" t="s">
        <v>173</v>
      </c>
      <c r="D163" t="s">
        <v>194</v>
      </c>
      <c r="E163" t="s">
        <v>207</v>
      </c>
      <c r="F163">
        <v>22</v>
      </c>
      <c r="G163">
        <v>65000</v>
      </c>
      <c r="H163" t="s">
        <v>231</v>
      </c>
    </row>
    <row r="164" spans="1:8" x14ac:dyDescent="0.3">
      <c r="A164">
        <v>10163</v>
      </c>
      <c r="B164" t="s">
        <v>125</v>
      </c>
      <c r="C164" t="s">
        <v>178</v>
      </c>
      <c r="D164" t="s">
        <v>192</v>
      </c>
      <c r="E164" t="s">
        <v>208</v>
      </c>
      <c r="F164">
        <v>52</v>
      </c>
      <c r="G164" t="s">
        <v>215</v>
      </c>
      <c r="H164" t="s">
        <v>224</v>
      </c>
    </row>
    <row r="165" spans="1:8" x14ac:dyDescent="0.3">
      <c r="B165" t="s">
        <v>126</v>
      </c>
      <c r="C165" t="s">
        <v>182</v>
      </c>
      <c r="D165" t="s">
        <v>194</v>
      </c>
      <c r="E165" t="s">
        <v>209</v>
      </c>
      <c r="F165">
        <v>35</v>
      </c>
      <c r="G165">
        <v>45000</v>
      </c>
      <c r="H165" t="s">
        <v>227</v>
      </c>
    </row>
    <row r="166" spans="1:8" x14ac:dyDescent="0.3">
      <c r="A166">
        <v>10165</v>
      </c>
      <c r="B166" t="s">
        <v>127</v>
      </c>
      <c r="C166" t="s">
        <v>175</v>
      </c>
      <c r="D166" t="s">
        <v>190</v>
      </c>
      <c r="E166" t="s">
        <v>203</v>
      </c>
      <c r="F166">
        <v>26</v>
      </c>
      <c r="G166">
        <v>80000</v>
      </c>
      <c r="H166" t="s">
        <v>231</v>
      </c>
    </row>
    <row r="167" spans="1:8" x14ac:dyDescent="0.3">
      <c r="A167">
        <v>10166</v>
      </c>
      <c r="B167" t="s">
        <v>128</v>
      </c>
      <c r="C167" t="s">
        <v>175</v>
      </c>
      <c r="E167" t="s">
        <v>208</v>
      </c>
      <c r="F167">
        <v>55</v>
      </c>
      <c r="G167">
        <v>35000</v>
      </c>
      <c r="H167" t="s">
        <v>224</v>
      </c>
    </row>
    <row r="168" spans="1:8" x14ac:dyDescent="0.3">
      <c r="A168">
        <v>10167</v>
      </c>
      <c r="B168" t="s">
        <v>104</v>
      </c>
      <c r="C168" t="s">
        <v>180</v>
      </c>
      <c r="D168" t="s">
        <v>187</v>
      </c>
      <c r="E168" t="s">
        <v>204</v>
      </c>
      <c r="F168">
        <v>21</v>
      </c>
      <c r="G168">
        <v>40000</v>
      </c>
      <c r="H168" t="s">
        <v>231</v>
      </c>
    </row>
    <row r="169" spans="1:8" x14ac:dyDescent="0.3">
      <c r="A169">
        <v>10168</v>
      </c>
      <c r="B169" t="s">
        <v>129</v>
      </c>
      <c r="C169" t="s">
        <v>175</v>
      </c>
      <c r="D169" t="s">
        <v>192</v>
      </c>
      <c r="E169" t="s">
        <v>205</v>
      </c>
      <c r="F169">
        <v>49</v>
      </c>
      <c r="G169">
        <v>70000</v>
      </c>
      <c r="H169" t="s">
        <v>224</v>
      </c>
    </row>
    <row r="170" spans="1:8" x14ac:dyDescent="0.3">
      <c r="B170" t="s">
        <v>130</v>
      </c>
      <c r="C170" t="s">
        <v>180</v>
      </c>
      <c r="D170" t="s">
        <v>197</v>
      </c>
      <c r="E170" t="s">
        <v>205</v>
      </c>
      <c r="F170">
        <v>43</v>
      </c>
      <c r="G170">
        <v>30000</v>
      </c>
      <c r="H170" t="s">
        <v>224</v>
      </c>
    </row>
    <row r="171" spans="1:8" x14ac:dyDescent="0.3">
      <c r="A171">
        <v>10170</v>
      </c>
      <c r="B171" t="s">
        <v>25</v>
      </c>
      <c r="C171" t="s">
        <v>185</v>
      </c>
      <c r="D171" t="s">
        <v>188</v>
      </c>
      <c r="E171" t="s">
        <v>208</v>
      </c>
      <c r="F171">
        <v>36</v>
      </c>
      <c r="G171">
        <v>70000</v>
      </c>
      <c r="H171" t="s">
        <v>225</v>
      </c>
    </row>
    <row r="172" spans="1:8" x14ac:dyDescent="0.3">
      <c r="A172">
        <v>10171</v>
      </c>
      <c r="B172" t="s">
        <v>131</v>
      </c>
      <c r="C172" t="s">
        <v>183</v>
      </c>
      <c r="D172" t="s">
        <v>191</v>
      </c>
      <c r="E172" t="s">
        <v>205</v>
      </c>
      <c r="F172">
        <v>41</v>
      </c>
      <c r="G172">
        <v>90000</v>
      </c>
      <c r="H172" t="s">
        <v>229</v>
      </c>
    </row>
    <row r="173" spans="1:8" x14ac:dyDescent="0.3">
      <c r="A173">
        <v>10172</v>
      </c>
      <c r="B173" t="s">
        <v>82</v>
      </c>
      <c r="C173" t="s">
        <v>179</v>
      </c>
      <c r="D173" t="s">
        <v>189</v>
      </c>
      <c r="E173" t="s">
        <v>203</v>
      </c>
      <c r="F173">
        <v>42</v>
      </c>
      <c r="G173">
        <v>50000</v>
      </c>
      <c r="H173" t="s">
        <v>226</v>
      </c>
    </row>
    <row r="174" spans="1:8" x14ac:dyDescent="0.3">
      <c r="A174">
        <v>10173</v>
      </c>
      <c r="B174" t="s">
        <v>84</v>
      </c>
      <c r="C174" t="s">
        <v>175</v>
      </c>
      <c r="D174" t="s">
        <v>197</v>
      </c>
      <c r="E174" t="s">
        <v>202</v>
      </c>
      <c r="F174">
        <v>60</v>
      </c>
      <c r="G174">
        <v>55000</v>
      </c>
      <c r="H174" t="s">
        <v>224</v>
      </c>
    </row>
    <row r="175" spans="1:8" x14ac:dyDescent="0.3">
      <c r="A175">
        <v>10174</v>
      </c>
      <c r="B175" t="s">
        <v>132</v>
      </c>
      <c r="C175" t="s">
        <v>178</v>
      </c>
      <c r="D175" t="s">
        <v>196</v>
      </c>
      <c r="E175" t="s">
        <v>204</v>
      </c>
      <c r="F175">
        <v>31</v>
      </c>
      <c r="G175">
        <v>60000</v>
      </c>
      <c r="H175" t="s">
        <v>228</v>
      </c>
    </row>
    <row r="176" spans="1:8" x14ac:dyDescent="0.3">
      <c r="A176">
        <v>10175</v>
      </c>
      <c r="B176" t="s">
        <v>56</v>
      </c>
      <c r="C176" t="s">
        <v>175</v>
      </c>
      <c r="D176" t="s">
        <v>187</v>
      </c>
      <c r="E176" t="s">
        <v>210</v>
      </c>
      <c r="F176">
        <v>50</v>
      </c>
      <c r="G176">
        <v>55000</v>
      </c>
      <c r="H176" t="s">
        <v>226</v>
      </c>
    </row>
    <row r="177" spans="1:8" x14ac:dyDescent="0.3">
      <c r="A177">
        <v>10176</v>
      </c>
      <c r="B177" t="s">
        <v>133</v>
      </c>
      <c r="C177" t="s">
        <v>177</v>
      </c>
      <c r="D177" t="s">
        <v>189</v>
      </c>
      <c r="E177" t="s">
        <v>210</v>
      </c>
      <c r="F177">
        <v>26</v>
      </c>
      <c r="G177">
        <v>80000</v>
      </c>
      <c r="H177" t="s">
        <v>228</v>
      </c>
    </row>
    <row r="178" spans="1:8" x14ac:dyDescent="0.3">
      <c r="A178">
        <v>10177</v>
      </c>
      <c r="B178" t="s">
        <v>134</v>
      </c>
      <c r="C178" t="s">
        <v>175</v>
      </c>
      <c r="D178" t="s">
        <v>193</v>
      </c>
      <c r="E178" t="s">
        <v>204</v>
      </c>
      <c r="F178">
        <v>21</v>
      </c>
      <c r="G178">
        <v>55000</v>
      </c>
      <c r="H178" t="s">
        <v>226</v>
      </c>
    </row>
    <row r="179" spans="1:8" x14ac:dyDescent="0.3">
      <c r="A179">
        <v>10178</v>
      </c>
      <c r="B179" t="s">
        <v>135</v>
      </c>
      <c r="C179" t="s">
        <v>175</v>
      </c>
      <c r="D179" t="s">
        <v>199</v>
      </c>
      <c r="E179" t="s">
        <v>208</v>
      </c>
      <c r="F179">
        <v>45</v>
      </c>
      <c r="G179">
        <v>50000</v>
      </c>
      <c r="H179" t="s">
        <v>226</v>
      </c>
    </row>
    <row r="180" spans="1:8" x14ac:dyDescent="0.3">
      <c r="A180">
        <v>10179</v>
      </c>
      <c r="B180" t="s">
        <v>42</v>
      </c>
      <c r="C180" t="s">
        <v>185</v>
      </c>
      <c r="D180" t="s">
        <v>187</v>
      </c>
      <c r="E180" t="s">
        <v>211</v>
      </c>
      <c r="F180">
        <v>59</v>
      </c>
      <c r="G180">
        <v>40000</v>
      </c>
      <c r="H180" t="s">
        <v>229</v>
      </c>
    </row>
    <row r="181" spans="1:8" x14ac:dyDescent="0.3">
      <c r="A181">
        <v>10180</v>
      </c>
      <c r="B181" t="s">
        <v>136</v>
      </c>
      <c r="C181" t="s">
        <v>181</v>
      </c>
      <c r="D181" t="s">
        <v>196</v>
      </c>
      <c r="E181" t="s">
        <v>205</v>
      </c>
      <c r="F181">
        <v>24</v>
      </c>
      <c r="G181">
        <v>65000</v>
      </c>
      <c r="H181" t="s">
        <v>230</v>
      </c>
    </row>
    <row r="182" spans="1:8" x14ac:dyDescent="0.3">
      <c r="A182">
        <v>10181</v>
      </c>
      <c r="B182" t="s">
        <v>137</v>
      </c>
      <c r="C182" t="s">
        <v>184</v>
      </c>
      <c r="D182" t="s">
        <v>195</v>
      </c>
      <c r="E182" t="s">
        <v>202</v>
      </c>
      <c r="F182">
        <v>36</v>
      </c>
      <c r="G182">
        <v>90000</v>
      </c>
      <c r="H182" t="s">
        <v>228</v>
      </c>
    </row>
    <row r="183" spans="1:8" x14ac:dyDescent="0.3">
      <c r="A183">
        <v>10182</v>
      </c>
      <c r="B183" t="s">
        <v>138</v>
      </c>
      <c r="C183" t="s">
        <v>178</v>
      </c>
      <c r="D183" t="s">
        <v>197</v>
      </c>
      <c r="E183" t="s">
        <v>203</v>
      </c>
      <c r="F183">
        <v>28</v>
      </c>
      <c r="G183">
        <v>70000</v>
      </c>
      <c r="H183" t="s">
        <v>225</v>
      </c>
    </row>
    <row r="184" spans="1:8" x14ac:dyDescent="0.3">
      <c r="A184">
        <v>10183</v>
      </c>
      <c r="B184" t="s">
        <v>45</v>
      </c>
      <c r="C184" t="s">
        <v>178</v>
      </c>
      <c r="D184" t="s">
        <v>189</v>
      </c>
      <c r="E184" t="s">
        <v>209</v>
      </c>
      <c r="F184">
        <v>59</v>
      </c>
      <c r="G184">
        <v>80000</v>
      </c>
      <c r="H184" t="s">
        <v>230</v>
      </c>
    </row>
    <row r="185" spans="1:8" x14ac:dyDescent="0.3">
      <c r="A185">
        <v>10184</v>
      </c>
      <c r="B185" t="s">
        <v>139</v>
      </c>
      <c r="C185" t="s">
        <v>184</v>
      </c>
      <c r="D185" t="s">
        <v>188</v>
      </c>
      <c r="E185" t="s">
        <v>206</v>
      </c>
      <c r="F185">
        <v>49</v>
      </c>
      <c r="G185">
        <v>55000</v>
      </c>
      <c r="H185" t="s">
        <v>224</v>
      </c>
    </row>
    <row r="186" spans="1:8" x14ac:dyDescent="0.3">
      <c r="A186">
        <v>10185</v>
      </c>
      <c r="B186" t="s">
        <v>130</v>
      </c>
      <c r="C186" t="s">
        <v>175</v>
      </c>
      <c r="D186" t="s">
        <v>193</v>
      </c>
      <c r="E186" t="s">
        <v>209</v>
      </c>
      <c r="F186">
        <v>36</v>
      </c>
      <c r="G186">
        <v>80000</v>
      </c>
      <c r="H186" t="s">
        <v>230</v>
      </c>
    </row>
    <row r="187" spans="1:8" x14ac:dyDescent="0.3">
      <c r="A187">
        <v>10186</v>
      </c>
      <c r="B187" t="s">
        <v>140</v>
      </c>
      <c r="C187" t="s">
        <v>184</v>
      </c>
      <c r="D187" t="s">
        <v>194</v>
      </c>
      <c r="E187" t="s">
        <v>206</v>
      </c>
      <c r="F187">
        <v>36</v>
      </c>
      <c r="G187">
        <v>60000</v>
      </c>
      <c r="H187" t="s">
        <v>228</v>
      </c>
    </row>
    <row r="188" spans="1:8" x14ac:dyDescent="0.3">
      <c r="A188">
        <v>10187</v>
      </c>
      <c r="B188" t="s">
        <v>141</v>
      </c>
      <c r="C188" t="s">
        <v>181</v>
      </c>
      <c r="D188" t="s">
        <v>191</v>
      </c>
      <c r="E188" t="s">
        <v>203</v>
      </c>
      <c r="F188">
        <v>44</v>
      </c>
      <c r="G188">
        <v>90000</v>
      </c>
      <c r="H188" t="s">
        <v>224</v>
      </c>
    </row>
    <row r="189" spans="1:8" x14ac:dyDescent="0.3">
      <c r="A189">
        <v>10188</v>
      </c>
      <c r="B189" t="s">
        <v>96</v>
      </c>
      <c r="C189" t="s">
        <v>179</v>
      </c>
      <c r="D189" t="s">
        <v>190</v>
      </c>
      <c r="E189" t="s">
        <v>207</v>
      </c>
      <c r="F189">
        <v>42</v>
      </c>
      <c r="G189">
        <v>80000</v>
      </c>
      <c r="H189" t="s">
        <v>228</v>
      </c>
    </row>
    <row r="190" spans="1:8" x14ac:dyDescent="0.3">
      <c r="A190">
        <v>10189</v>
      </c>
      <c r="B190" t="s">
        <v>13</v>
      </c>
      <c r="C190" t="s">
        <v>183</v>
      </c>
      <c r="D190" t="s">
        <v>191</v>
      </c>
      <c r="E190" t="s">
        <v>208</v>
      </c>
      <c r="F190">
        <v>27</v>
      </c>
      <c r="G190" t="s">
        <v>220</v>
      </c>
      <c r="H190" t="s">
        <v>226</v>
      </c>
    </row>
    <row r="191" spans="1:8" x14ac:dyDescent="0.3">
      <c r="A191">
        <v>10190</v>
      </c>
      <c r="B191" t="s">
        <v>142</v>
      </c>
      <c r="C191" t="s">
        <v>183</v>
      </c>
      <c r="D191" t="s">
        <v>195</v>
      </c>
      <c r="E191" t="s">
        <v>203</v>
      </c>
      <c r="F191">
        <v>58</v>
      </c>
      <c r="G191">
        <v>30000</v>
      </c>
      <c r="H191" t="s">
        <v>229</v>
      </c>
    </row>
    <row r="192" spans="1:8" x14ac:dyDescent="0.3">
      <c r="A192">
        <v>10191</v>
      </c>
      <c r="B192" t="s">
        <v>53</v>
      </c>
      <c r="C192" t="s">
        <v>184</v>
      </c>
      <c r="D192" t="s">
        <v>192</v>
      </c>
      <c r="E192" t="s">
        <v>209</v>
      </c>
      <c r="G192">
        <v>80000</v>
      </c>
      <c r="H192" t="s">
        <v>231</v>
      </c>
    </row>
    <row r="193" spans="1:8" x14ac:dyDescent="0.3">
      <c r="A193">
        <v>10192</v>
      </c>
      <c r="B193" t="s">
        <v>143</v>
      </c>
      <c r="C193" t="s">
        <v>181</v>
      </c>
      <c r="D193" t="s">
        <v>198</v>
      </c>
      <c r="E193" t="s">
        <v>202</v>
      </c>
      <c r="F193">
        <v>48</v>
      </c>
      <c r="G193">
        <v>55000</v>
      </c>
      <c r="H193" t="s">
        <v>230</v>
      </c>
    </row>
    <row r="194" spans="1:8" x14ac:dyDescent="0.3">
      <c r="A194">
        <v>10193</v>
      </c>
      <c r="B194" t="s">
        <v>144</v>
      </c>
      <c r="C194" t="s">
        <v>185</v>
      </c>
      <c r="D194" t="s">
        <v>189</v>
      </c>
      <c r="E194" t="s">
        <v>204</v>
      </c>
      <c r="F194">
        <v>21</v>
      </c>
      <c r="G194">
        <v>60000</v>
      </c>
      <c r="H194" t="s">
        <v>226</v>
      </c>
    </row>
    <row r="195" spans="1:8" x14ac:dyDescent="0.3">
      <c r="A195">
        <v>10194</v>
      </c>
      <c r="B195" t="s">
        <v>145</v>
      </c>
      <c r="C195" t="s">
        <v>182</v>
      </c>
      <c r="D195" t="s">
        <v>187</v>
      </c>
      <c r="E195" t="s">
        <v>211</v>
      </c>
      <c r="F195">
        <v>32</v>
      </c>
      <c r="G195">
        <v>35000</v>
      </c>
      <c r="H195" t="s">
        <v>225</v>
      </c>
    </row>
    <row r="196" spans="1:8" x14ac:dyDescent="0.3">
      <c r="A196">
        <v>10195</v>
      </c>
      <c r="B196" t="s">
        <v>74</v>
      </c>
      <c r="C196" t="s">
        <v>182</v>
      </c>
      <c r="D196" t="s">
        <v>199</v>
      </c>
      <c r="E196" t="s">
        <v>207</v>
      </c>
      <c r="F196">
        <v>48</v>
      </c>
      <c r="G196" t="s">
        <v>216</v>
      </c>
      <c r="H196" t="s">
        <v>227</v>
      </c>
    </row>
    <row r="197" spans="1:8" x14ac:dyDescent="0.3">
      <c r="A197">
        <v>10196</v>
      </c>
      <c r="B197" t="s">
        <v>95</v>
      </c>
      <c r="C197" t="s">
        <v>177</v>
      </c>
      <c r="D197" t="s">
        <v>191</v>
      </c>
      <c r="E197" t="s">
        <v>204</v>
      </c>
      <c r="F197">
        <v>49</v>
      </c>
      <c r="G197">
        <v>70000</v>
      </c>
      <c r="H197" t="s">
        <v>231</v>
      </c>
    </row>
    <row r="198" spans="1:8" x14ac:dyDescent="0.3">
      <c r="A198">
        <v>10197</v>
      </c>
      <c r="B198" t="s">
        <v>8</v>
      </c>
      <c r="C198" t="s">
        <v>175</v>
      </c>
      <c r="D198" t="s">
        <v>198</v>
      </c>
      <c r="E198" t="s">
        <v>207</v>
      </c>
      <c r="F198">
        <v>22</v>
      </c>
      <c r="G198">
        <v>65000</v>
      </c>
      <c r="H198" t="s">
        <v>229</v>
      </c>
    </row>
    <row r="199" spans="1:8" x14ac:dyDescent="0.3">
      <c r="A199">
        <v>10198</v>
      </c>
      <c r="B199" t="s">
        <v>142</v>
      </c>
      <c r="C199" t="s">
        <v>186</v>
      </c>
      <c r="D199" t="s">
        <v>192</v>
      </c>
      <c r="E199" t="s">
        <v>210</v>
      </c>
      <c r="F199">
        <v>20</v>
      </c>
      <c r="G199">
        <v>50000</v>
      </c>
      <c r="H199" t="s">
        <v>229</v>
      </c>
    </row>
    <row r="200" spans="1:8" x14ac:dyDescent="0.3">
      <c r="A200">
        <v>10199</v>
      </c>
      <c r="B200" t="s">
        <v>81</v>
      </c>
      <c r="C200" t="s">
        <v>185</v>
      </c>
      <c r="D200" t="s">
        <v>191</v>
      </c>
      <c r="E200" t="s">
        <v>200</v>
      </c>
      <c r="F200">
        <v>23</v>
      </c>
      <c r="G200">
        <v>90000</v>
      </c>
      <c r="H200" t="s">
        <v>224</v>
      </c>
    </row>
    <row r="201" spans="1:8" x14ac:dyDescent="0.3">
      <c r="A201">
        <v>10200</v>
      </c>
      <c r="B201" t="s">
        <v>88</v>
      </c>
      <c r="C201" t="s">
        <v>174</v>
      </c>
      <c r="D201" t="s">
        <v>193</v>
      </c>
      <c r="E201" t="s">
        <v>205</v>
      </c>
      <c r="F201">
        <v>58</v>
      </c>
      <c r="G201">
        <v>65000</v>
      </c>
      <c r="H201" t="s">
        <v>231</v>
      </c>
    </row>
    <row r="202" spans="1:8" x14ac:dyDescent="0.3">
      <c r="A202">
        <v>10201</v>
      </c>
      <c r="B202" t="s">
        <v>146</v>
      </c>
      <c r="C202" t="s">
        <v>174</v>
      </c>
      <c r="D202" t="s">
        <v>189</v>
      </c>
      <c r="E202" t="s">
        <v>203</v>
      </c>
      <c r="F202">
        <v>44</v>
      </c>
      <c r="G202">
        <v>60000</v>
      </c>
      <c r="H202" t="s">
        <v>227</v>
      </c>
    </row>
    <row r="203" spans="1:8" x14ac:dyDescent="0.3">
      <c r="A203">
        <v>10202</v>
      </c>
      <c r="B203" t="s">
        <v>105</v>
      </c>
      <c r="C203" t="s">
        <v>180</v>
      </c>
      <c r="D203" t="s">
        <v>189</v>
      </c>
      <c r="E203" t="s">
        <v>205</v>
      </c>
      <c r="F203">
        <v>29</v>
      </c>
      <c r="G203">
        <v>90000</v>
      </c>
      <c r="H203" t="s">
        <v>224</v>
      </c>
    </row>
    <row r="204" spans="1:8" x14ac:dyDescent="0.3">
      <c r="A204">
        <v>10203</v>
      </c>
      <c r="B204" t="s">
        <v>147</v>
      </c>
      <c r="C204" t="s">
        <v>179</v>
      </c>
      <c r="D204" t="s">
        <v>195</v>
      </c>
      <c r="E204" t="s">
        <v>200</v>
      </c>
      <c r="F204">
        <v>25</v>
      </c>
      <c r="G204">
        <v>50000</v>
      </c>
      <c r="H204" t="s">
        <v>228</v>
      </c>
    </row>
    <row r="205" spans="1:8" x14ac:dyDescent="0.3">
      <c r="A205">
        <v>10204</v>
      </c>
      <c r="B205" t="s">
        <v>15</v>
      </c>
      <c r="C205" t="s">
        <v>185</v>
      </c>
      <c r="D205" t="s">
        <v>191</v>
      </c>
      <c r="E205" t="s">
        <v>208</v>
      </c>
      <c r="F205">
        <v>39</v>
      </c>
      <c r="G205">
        <v>80000</v>
      </c>
      <c r="H205" t="s">
        <v>230</v>
      </c>
    </row>
    <row r="206" spans="1:8" x14ac:dyDescent="0.3">
      <c r="A206">
        <v>10205</v>
      </c>
      <c r="B206" t="s">
        <v>12</v>
      </c>
      <c r="C206" t="s">
        <v>186</v>
      </c>
      <c r="D206" t="s">
        <v>188</v>
      </c>
      <c r="E206" t="s">
        <v>207</v>
      </c>
      <c r="F206">
        <v>43</v>
      </c>
      <c r="G206">
        <v>40000</v>
      </c>
      <c r="H206" t="s">
        <v>225</v>
      </c>
    </row>
    <row r="207" spans="1:8" x14ac:dyDescent="0.3">
      <c r="A207">
        <v>10206</v>
      </c>
      <c r="B207" t="s">
        <v>10</v>
      </c>
      <c r="C207" t="s">
        <v>173</v>
      </c>
      <c r="D207" t="s">
        <v>194</v>
      </c>
      <c r="E207" t="s">
        <v>210</v>
      </c>
      <c r="F207">
        <v>28</v>
      </c>
      <c r="H207" t="s">
        <v>229</v>
      </c>
    </row>
    <row r="208" spans="1:8" x14ac:dyDescent="0.3">
      <c r="A208">
        <v>10207</v>
      </c>
      <c r="B208" t="s">
        <v>148</v>
      </c>
      <c r="C208" t="s">
        <v>174</v>
      </c>
      <c r="D208" t="s">
        <v>191</v>
      </c>
      <c r="E208" t="s">
        <v>200</v>
      </c>
      <c r="F208">
        <v>22</v>
      </c>
      <c r="G208">
        <v>90000</v>
      </c>
      <c r="H208" t="s">
        <v>227</v>
      </c>
    </row>
    <row r="209" spans="1:8" x14ac:dyDescent="0.3">
      <c r="A209">
        <v>10208</v>
      </c>
      <c r="B209" t="s">
        <v>149</v>
      </c>
      <c r="C209" t="s">
        <v>178</v>
      </c>
      <c r="D209" t="s">
        <v>188</v>
      </c>
      <c r="E209" t="s">
        <v>201</v>
      </c>
      <c r="F209">
        <v>28</v>
      </c>
      <c r="G209">
        <v>65000</v>
      </c>
      <c r="H209" t="s">
        <v>230</v>
      </c>
    </row>
    <row r="210" spans="1:8" x14ac:dyDescent="0.3">
      <c r="A210">
        <v>10209</v>
      </c>
      <c r="B210" t="s">
        <v>148</v>
      </c>
      <c r="C210" t="s">
        <v>181</v>
      </c>
      <c r="D210" t="s">
        <v>193</v>
      </c>
      <c r="E210" t="s">
        <v>205</v>
      </c>
      <c r="F210">
        <v>27</v>
      </c>
      <c r="G210">
        <v>90000</v>
      </c>
      <c r="H210" t="s">
        <v>228</v>
      </c>
    </row>
    <row r="211" spans="1:8" x14ac:dyDescent="0.3">
      <c r="A211">
        <v>10210</v>
      </c>
      <c r="B211" t="s">
        <v>150</v>
      </c>
      <c r="C211" t="s">
        <v>186</v>
      </c>
      <c r="D211" t="s">
        <v>196</v>
      </c>
      <c r="E211" t="s">
        <v>206</v>
      </c>
      <c r="F211">
        <v>32</v>
      </c>
      <c r="G211">
        <v>50000</v>
      </c>
      <c r="H211" t="s">
        <v>228</v>
      </c>
    </row>
    <row r="212" spans="1:8" x14ac:dyDescent="0.3">
      <c r="A212">
        <v>10211</v>
      </c>
      <c r="B212" t="s">
        <v>151</v>
      </c>
      <c r="C212" t="s">
        <v>181</v>
      </c>
      <c r="D212" t="s">
        <v>189</v>
      </c>
      <c r="E212" t="s">
        <v>208</v>
      </c>
      <c r="F212">
        <v>22</v>
      </c>
      <c r="G212">
        <v>65000</v>
      </c>
      <c r="H212" t="s">
        <v>225</v>
      </c>
    </row>
    <row r="213" spans="1:8" x14ac:dyDescent="0.3">
      <c r="A213">
        <v>10212</v>
      </c>
      <c r="B213" t="s">
        <v>152</v>
      </c>
      <c r="C213" t="s">
        <v>174</v>
      </c>
      <c r="D213" t="s">
        <v>189</v>
      </c>
      <c r="E213" t="s">
        <v>207</v>
      </c>
      <c r="F213">
        <v>25</v>
      </c>
      <c r="G213">
        <v>65000</v>
      </c>
      <c r="H213" t="s">
        <v>226</v>
      </c>
    </row>
    <row r="214" spans="1:8" x14ac:dyDescent="0.3">
      <c r="A214">
        <v>10213</v>
      </c>
      <c r="B214" t="s">
        <v>95</v>
      </c>
      <c r="C214" t="s">
        <v>177</v>
      </c>
      <c r="D214" t="s">
        <v>198</v>
      </c>
      <c r="E214" t="s">
        <v>209</v>
      </c>
      <c r="F214">
        <v>60</v>
      </c>
      <c r="G214" t="s">
        <v>221</v>
      </c>
      <c r="H214" t="s">
        <v>228</v>
      </c>
    </row>
    <row r="215" spans="1:8" x14ac:dyDescent="0.3">
      <c r="A215">
        <v>10214</v>
      </c>
      <c r="B215" t="s">
        <v>153</v>
      </c>
      <c r="C215" t="s">
        <v>174</v>
      </c>
      <c r="D215" t="s">
        <v>196</v>
      </c>
      <c r="E215" t="s">
        <v>201</v>
      </c>
      <c r="F215">
        <v>26</v>
      </c>
      <c r="G215">
        <v>50000</v>
      </c>
      <c r="H215" t="s">
        <v>226</v>
      </c>
    </row>
    <row r="216" spans="1:8" x14ac:dyDescent="0.3">
      <c r="A216">
        <v>10215</v>
      </c>
      <c r="B216" t="s">
        <v>100</v>
      </c>
      <c r="C216" t="s">
        <v>178</v>
      </c>
      <c r="D216" t="s">
        <v>195</v>
      </c>
      <c r="E216" t="s">
        <v>211</v>
      </c>
      <c r="F216">
        <v>29</v>
      </c>
      <c r="H216" t="s">
        <v>228</v>
      </c>
    </row>
    <row r="217" spans="1:8" x14ac:dyDescent="0.3">
      <c r="A217">
        <v>10216</v>
      </c>
      <c r="B217" t="s">
        <v>38</v>
      </c>
      <c r="C217" t="s">
        <v>180</v>
      </c>
      <c r="D217" t="s">
        <v>188</v>
      </c>
      <c r="E217" t="s">
        <v>201</v>
      </c>
      <c r="F217">
        <v>58</v>
      </c>
      <c r="G217">
        <v>35000</v>
      </c>
      <c r="H217" t="s">
        <v>225</v>
      </c>
    </row>
    <row r="218" spans="1:8" x14ac:dyDescent="0.3">
      <c r="A218">
        <v>10217</v>
      </c>
      <c r="B218" t="s">
        <v>154</v>
      </c>
      <c r="C218" t="s">
        <v>178</v>
      </c>
      <c r="D218" t="s">
        <v>198</v>
      </c>
      <c r="E218" t="s">
        <v>200</v>
      </c>
      <c r="F218">
        <v>50</v>
      </c>
      <c r="G218">
        <v>35000</v>
      </c>
      <c r="H218" t="s">
        <v>227</v>
      </c>
    </row>
    <row r="219" spans="1:8" x14ac:dyDescent="0.3">
      <c r="A219">
        <v>10218</v>
      </c>
      <c r="B219" t="s">
        <v>155</v>
      </c>
      <c r="C219" t="s">
        <v>176</v>
      </c>
      <c r="D219" t="s">
        <v>195</v>
      </c>
      <c r="E219" t="s">
        <v>211</v>
      </c>
      <c r="F219">
        <v>29</v>
      </c>
      <c r="G219">
        <v>70000</v>
      </c>
      <c r="H219" t="s">
        <v>225</v>
      </c>
    </row>
    <row r="220" spans="1:8" x14ac:dyDescent="0.3">
      <c r="A220">
        <v>10219</v>
      </c>
      <c r="B220" t="s">
        <v>47</v>
      </c>
      <c r="C220" t="s">
        <v>173</v>
      </c>
      <c r="D220" t="s">
        <v>196</v>
      </c>
      <c r="E220" t="s">
        <v>202</v>
      </c>
      <c r="F220">
        <v>39</v>
      </c>
      <c r="G220">
        <v>45000</v>
      </c>
      <c r="H220" t="s">
        <v>224</v>
      </c>
    </row>
    <row r="221" spans="1:8" x14ac:dyDescent="0.3">
      <c r="A221">
        <v>10220</v>
      </c>
      <c r="B221" t="s">
        <v>64</v>
      </c>
      <c r="C221" t="s">
        <v>177</v>
      </c>
      <c r="D221" t="s">
        <v>196</v>
      </c>
      <c r="E221" t="s">
        <v>207</v>
      </c>
      <c r="F221">
        <v>29</v>
      </c>
      <c r="G221">
        <v>55000</v>
      </c>
      <c r="H221" t="s">
        <v>230</v>
      </c>
    </row>
    <row r="222" spans="1:8" x14ac:dyDescent="0.3">
      <c r="A222">
        <v>10221</v>
      </c>
      <c r="B222" t="s">
        <v>43</v>
      </c>
      <c r="C222" t="s">
        <v>182</v>
      </c>
      <c r="D222" t="s">
        <v>189</v>
      </c>
      <c r="E222" t="s">
        <v>201</v>
      </c>
      <c r="F222">
        <v>55</v>
      </c>
      <c r="G222">
        <v>90000</v>
      </c>
      <c r="H222" t="s">
        <v>226</v>
      </c>
    </row>
    <row r="223" spans="1:8" x14ac:dyDescent="0.3">
      <c r="A223">
        <v>10222</v>
      </c>
      <c r="B223" t="s">
        <v>156</v>
      </c>
      <c r="C223" t="s">
        <v>173</v>
      </c>
      <c r="D223" t="s">
        <v>187</v>
      </c>
      <c r="E223" t="s">
        <v>207</v>
      </c>
      <c r="F223">
        <v>25</v>
      </c>
      <c r="G223">
        <v>40000</v>
      </c>
      <c r="H223" t="s">
        <v>226</v>
      </c>
    </row>
    <row r="224" spans="1:8" x14ac:dyDescent="0.3">
      <c r="A224">
        <v>10223</v>
      </c>
      <c r="B224" t="s">
        <v>32</v>
      </c>
      <c r="C224" t="s">
        <v>173</v>
      </c>
      <c r="D224" t="s">
        <v>199</v>
      </c>
      <c r="E224" t="s">
        <v>207</v>
      </c>
      <c r="F224">
        <v>54</v>
      </c>
      <c r="G224">
        <v>70000</v>
      </c>
      <c r="H224" t="s">
        <v>231</v>
      </c>
    </row>
    <row r="225" spans="1:8" x14ac:dyDescent="0.3">
      <c r="A225">
        <v>10224</v>
      </c>
      <c r="B225" t="s">
        <v>15</v>
      </c>
      <c r="C225" t="s">
        <v>173</v>
      </c>
      <c r="D225" t="s">
        <v>189</v>
      </c>
      <c r="E225" t="s">
        <v>209</v>
      </c>
      <c r="F225">
        <v>51</v>
      </c>
      <c r="G225">
        <v>35000</v>
      </c>
      <c r="H225" t="s">
        <v>231</v>
      </c>
    </row>
    <row r="226" spans="1:8" x14ac:dyDescent="0.3">
      <c r="A226">
        <v>10225</v>
      </c>
      <c r="B226" t="s">
        <v>63</v>
      </c>
      <c r="C226" t="s">
        <v>176</v>
      </c>
      <c r="D226" t="s">
        <v>187</v>
      </c>
      <c r="E226" t="s">
        <v>209</v>
      </c>
      <c r="F226">
        <v>22</v>
      </c>
      <c r="G226">
        <v>30000</v>
      </c>
      <c r="H226" t="s">
        <v>229</v>
      </c>
    </row>
    <row r="227" spans="1:8" x14ac:dyDescent="0.3">
      <c r="A227">
        <v>10226</v>
      </c>
      <c r="B227" t="s">
        <v>157</v>
      </c>
      <c r="C227" t="s">
        <v>177</v>
      </c>
      <c r="D227" t="s">
        <v>189</v>
      </c>
      <c r="E227" t="s">
        <v>206</v>
      </c>
      <c r="F227">
        <v>35</v>
      </c>
      <c r="G227">
        <v>50000</v>
      </c>
      <c r="H227" t="s">
        <v>226</v>
      </c>
    </row>
    <row r="228" spans="1:8" x14ac:dyDescent="0.3">
      <c r="A228">
        <v>10227</v>
      </c>
      <c r="B228" t="s">
        <v>158</v>
      </c>
      <c r="C228" t="s">
        <v>184</v>
      </c>
      <c r="D228" t="s">
        <v>191</v>
      </c>
      <c r="E228" t="s">
        <v>206</v>
      </c>
      <c r="F228">
        <v>22</v>
      </c>
      <c r="G228">
        <v>90000</v>
      </c>
      <c r="H228" t="s">
        <v>230</v>
      </c>
    </row>
    <row r="229" spans="1:8" x14ac:dyDescent="0.3">
      <c r="A229">
        <v>10228</v>
      </c>
      <c r="B229" t="s">
        <v>84</v>
      </c>
      <c r="C229" t="s">
        <v>173</v>
      </c>
      <c r="D229" t="s">
        <v>195</v>
      </c>
      <c r="E229" t="s">
        <v>207</v>
      </c>
      <c r="F229">
        <v>44</v>
      </c>
      <c r="G229">
        <v>65000</v>
      </c>
      <c r="H229" t="s">
        <v>227</v>
      </c>
    </row>
    <row r="230" spans="1:8" x14ac:dyDescent="0.3">
      <c r="A230">
        <v>10229</v>
      </c>
      <c r="B230" t="s">
        <v>16</v>
      </c>
      <c r="C230" t="s">
        <v>177</v>
      </c>
      <c r="D230" t="s">
        <v>191</v>
      </c>
      <c r="E230" t="s">
        <v>207</v>
      </c>
      <c r="F230">
        <v>48</v>
      </c>
      <c r="G230" t="s">
        <v>222</v>
      </c>
      <c r="H230" t="s">
        <v>225</v>
      </c>
    </row>
    <row r="231" spans="1:8" x14ac:dyDescent="0.3">
      <c r="A231">
        <v>10230</v>
      </c>
      <c r="B231" t="s">
        <v>159</v>
      </c>
      <c r="C231" t="s">
        <v>180</v>
      </c>
      <c r="D231" t="s">
        <v>190</v>
      </c>
      <c r="E231" t="s">
        <v>208</v>
      </c>
      <c r="F231">
        <v>48</v>
      </c>
      <c r="G231">
        <v>50000</v>
      </c>
      <c r="H231" t="s">
        <v>225</v>
      </c>
    </row>
    <row r="232" spans="1:8" x14ac:dyDescent="0.3">
      <c r="A232">
        <v>10231</v>
      </c>
      <c r="B232" t="s">
        <v>160</v>
      </c>
      <c r="C232" t="s">
        <v>182</v>
      </c>
      <c r="D232" t="s">
        <v>191</v>
      </c>
      <c r="E232" t="s">
        <v>211</v>
      </c>
      <c r="G232">
        <v>45000</v>
      </c>
      <c r="H232" t="s">
        <v>227</v>
      </c>
    </row>
    <row r="233" spans="1:8" x14ac:dyDescent="0.3">
      <c r="A233">
        <v>10232</v>
      </c>
      <c r="B233" t="s">
        <v>161</v>
      </c>
      <c r="C233" t="s">
        <v>178</v>
      </c>
      <c r="D233" t="s">
        <v>193</v>
      </c>
      <c r="E233" t="s">
        <v>205</v>
      </c>
      <c r="F233">
        <v>21</v>
      </c>
      <c r="G233">
        <v>65000</v>
      </c>
      <c r="H233" t="s">
        <v>225</v>
      </c>
    </row>
    <row r="234" spans="1:8" x14ac:dyDescent="0.3">
      <c r="A234">
        <v>10233</v>
      </c>
      <c r="B234" t="s">
        <v>162</v>
      </c>
      <c r="C234" t="s">
        <v>181</v>
      </c>
      <c r="D234" t="s">
        <v>192</v>
      </c>
      <c r="E234" t="s">
        <v>203</v>
      </c>
      <c r="F234">
        <v>49</v>
      </c>
      <c r="G234">
        <v>35000</v>
      </c>
      <c r="H234" t="s">
        <v>229</v>
      </c>
    </row>
    <row r="235" spans="1:8" x14ac:dyDescent="0.3">
      <c r="A235">
        <v>10234</v>
      </c>
      <c r="B235" t="s">
        <v>163</v>
      </c>
      <c r="C235" t="s">
        <v>174</v>
      </c>
      <c r="D235" t="s">
        <v>189</v>
      </c>
      <c r="E235" t="s">
        <v>210</v>
      </c>
      <c r="F235">
        <v>52</v>
      </c>
      <c r="G235">
        <v>55000</v>
      </c>
      <c r="H235" t="s">
        <v>230</v>
      </c>
    </row>
    <row r="236" spans="1:8" x14ac:dyDescent="0.3">
      <c r="A236">
        <v>10235</v>
      </c>
      <c r="B236" t="s">
        <v>125</v>
      </c>
      <c r="C236" t="s">
        <v>184</v>
      </c>
      <c r="D236" t="s">
        <v>194</v>
      </c>
      <c r="E236" t="s">
        <v>210</v>
      </c>
      <c r="F236">
        <v>36</v>
      </c>
      <c r="G236">
        <v>70000</v>
      </c>
      <c r="H236" t="s">
        <v>229</v>
      </c>
    </row>
    <row r="237" spans="1:8" x14ac:dyDescent="0.3">
      <c r="A237">
        <v>10236</v>
      </c>
      <c r="B237" t="s">
        <v>163</v>
      </c>
      <c r="C237" t="s">
        <v>176</v>
      </c>
      <c r="D237" t="s">
        <v>193</v>
      </c>
      <c r="E237" t="s">
        <v>202</v>
      </c>
      <c r="F237">
        <v>52</v>
      </c>
      <c r="G237">
        <v>80000</v>
      </c>
      <c r="H237" t="s">
        <v>225</v>
      </c>
    </row>
    <row r="238" spans="1:8" x14ac:dyDescent="0.3">
      <c r="A238">
        <v>10237</v>
      </c>
      <c r="B238" t="s">
        <v>164</v>
      </c>
      <c r="C238" t="s">
        <v>186</v>
      </c>
      <c r="D238" t="s">
        <v>198</v>
      </c>
      <c r="E238" t="s">
        <v>207</v>
      </c>
      <c r="F238">
        <v>60</v>
      </c>
      <c r="G238">
        <v>30000</v>
      </c>
      <c r="H238" t="s">
        <v>228</v>
      </c>
    </row>
    <row r="239" spans="1:8" x14ac:dyDescent="0.3">
      <c r="A239">
        <v>10238</v>
      </c>
      <c r="B239" t="s">
        <v>103</v>
      </c>
      <c r="C239" t="s">
        <v>176</v>
      </c>
      <c r="D239" t="s">
        <v>190</v>
      </c>
      <c r="E239" t="s">
        <v>203</v>
      </c>
      <c r="F239">
        <v>57</v>
      </c>
      <c r="G239">
        <v>60000</v>
      </c>
      <c r="H239" t="s">
        <v>224</v>
      </c>
    </row>
    <row r="240" spans="1:8" x14ac:dyDescent="0.3">
      <c r="A240">
        <v>10239</v>
      </c>
      <c r="B240" t="s">
        <v>165</v>
      </c>
      <c r="C240" t="s">
        <v>186</v>
      </c>
      <c r="D240" t="s">
        <v>188</v>
      </c>
      <c r="E240" t="s">
        <v>204</v>
      </c>
      <c r="F240">
        <v>59</v>
      </c>
      <c r="G240">
        <v>90000</v>
      </c>
      <c r="H240" t="s">
        <v>228</v>
      </c>
    </row>
    <row r="241" spans="1:8" x14ac:dyDescent="0.3">
      <c r="A241">
        <v>10240</v>
      </c>
      <c r="B241" t="s">
        <v>10</v>
      </c>
      <c r="C241" t="s">
        <v>178</v>
      </c>
      <c r="D241" t="s">
        <v>196</v>
      </c>
      <c r="E241" t="s">
        <v>210</v>
      </c>
      <c r="F241">
        <v>58</v>
      </c>
      <c r="G241">
        <v>70000</v>
      </c>
      <c r="H241" t="s">
        <v>224</v>
      </c>
    </row>
    <row r="242" spans="1:8" x14ac:dyDescent="0.3">
      <c r="A242">
        <v>10241</v>
      </c>
      <c r="B242" t="s">
        <v>166</v>
      </c>
      <c r="C242" t="s">
        <v>181</v>
      </c>
      <c r="D242" t="s">
        <v>188</v>
      </c>
      <c r="E242" t="s">
        <v>201</v>
      </c>
      <c r="F242">
        <v>39</v>
      </c>
      <c r="G242">
        <v>90000</v>
      </c>
      <c r="H242" t="s">
        <v>231</v>
      </c>
    </row>
    <row r="243" spans="1:8" x14ac:dyDescent="0.3">
      <c r="A243">
        <v>10242</v>
      </c>
      <c r="B243" t="s">
        <v>8</v>
      </c>
      <c r="C243" t="s">
        <v>180</v>
      </c>
      <c r="D243" t="s">
        <v>196</v>
      </c>
      <c r="E243" t="s">
        <v>204</v>
      </c>
      <c r="F243">
        <v>41</v>
      </c>
      <c r="G243">
        <v>80000</v>
      </c>
      <c r="H243" t="s">
        <v>231</v>
      </c>
    </row>
    <row r="244" spans="1:8" x14ac:dyDescent="0.3">
      <c r="A244">
        <v>10243</v>
      </c>
      <c r="B244" t="s">
        <v>49</v>
      </c>
      <c r="C244" t="s">
        <v>177</v>
      </c>
      <c r="D244" t="s">
        <v>197</v>
      </c>
      <c r="E244" t="s">
        <v>209</v>
      </c>
      <c r="F244">
        <v>37</v>
      </c>
      <c r="H244" t="s">
        <v>227</v>
      </c>
    </row>
    <row r="245" spans="1:8" x14ac:dyDescent="0.3">
      <c r="A245">
        <v>10244</v>
      </c>
      <c r="B245" t="s">
        <v>101</v>
      </c>
      <c r="C245" t="s">
        <v>173</v>
      </c>
      <c r="D245" t="s">
        <v>195</v>
      </c>
      <c r="E245" t="s">
        <v>204</v>
      </c>
      <c r="F245">
        <v>38</v>
      </c>
      <c r="G245">
        <v>60000</v>
      </c>
      <c r="H245" t="s">
        <v>229</v>
      </c>
    </row>
    <row r="246" spans="1:8" x14ac:dyDescent="0.3">
      <c r="A246">
        <v>10245</v>
      </c>
      <c r="B246" t="s">
        <v>105</v>
      </c>
      <c r="C246" t="s">
        <v>173</v>
      </c>
      <c r="D246" t="s">
        <v>190</v>
      </c>
      <c r="E246" t="s">
        <v>206</v>
      </c>
      <c r="F246">
        <v>51</v>
      </c>
      <c r="G246">
        <v>40000</v>
      </c>
      <c r="H246" t="s">
        <v>227</v>
      </c>
    </row>
    <row r="247" spans="1:8" x14ac:dyDescent="0.3">
      <c r="A247">
        <v>10246</v>
      </c>
      <c r="B247" t="s">
        <v>51</v>
      </c>
      <c r="C247" t="s">
        <v>186</v>
      </c>
      <c r="D247" t="s">
        <v>195</v>
      </c>
      <c r="E247" t="s">
        <v>205</v>
      </c>
      <c r="F247">
        <v>56</v>
      </c>
      <c r="G247">
        <v>65000</v>
      </c>
      <c r="H247" t="s">
        <v>230</v>
      </c>
    </row>
    <row r="248" spans="1:8" x14ac:dyDescent="0.3">
      <c r="A248">
        <v>10247</v>
      </c>
      <c r="B248" t="s">
        <v>167</v>
      </c>
      <c r="C248" t="s">
        <v>184</v>
      </c>
      <c r="D248" t="s">
        <v>195</v>
      </c>
      <c r="E248" t="s">
        <v>205</v>
      </c>
      <c r="F248">
        <v>34</v>
      </c>
      <c r="G248">
        <v>30000</v>
      </c>
      <c r="H248" t="s">
        <v>231</v>
      </c>
    </row>
    <row r="249" spans="1:8" x14ac:dyDescent="0.3">
      <c r="A249">
        <v>10248</v>
      </c>
      <c r="B249" t="s">
        <v>75</v>
      </c>
      <c r="C249" t="s">
        <v>182</v>
      </c>
      <c r="D249" t="s">
        <v>192</v>
      </c>
      <c r="E249" t="s">
        <v>204</v>
      </c>
      <c r="F249">
        <v>43</v>
      </c>
      <c r="G249">
        <v>45000</v>
      </c>
      <c r="H249" t="s">
        <v>228</v>
      </c>
    </row>
    <row r="250" spans="1:8" x14ac:dyDescent="0.3">
      <c r="A250">
        <v>10249</v>
      </c>
      <c r="B250" t="s">
        <v>118</v>
      </c>
      <c r="C250" t="s">
        <v>177</v>
      </c>
      <c r="D250" t="s">
        <v>194</v>
      </c>
      <c r="E250" t="s">
        <v>203</v>
      </c>
      <c r="F250">
        <v>51</v>
      </c>
      <c r="G250">
        <v>70000</v>
      </c>
      <c r="H250" t="s">
        <v>227</v>
      </c>
    </row>
    <row r="251" spans="1:8" x14ac:dyDescent="0.3">
      <c r="A251">
        <v>10250</v>
      </c>
      <c r="B251" t="s">
        <v>91</v>
      </c>
      <c r="C251" t="s">
        <v>186</v>
      </c>
      <c r="D251" t="s">
        <v>188</v>
      </c>
      <c r="E251" t="s">
        <v>202</v>
      </c>
      <c r="F251">
        <v>25</v>
      </c>
      <c r="G251" t="s">
        <v>223</v>
      </c>
      <c r="H251" t="s">
        <v>224</v>
      </c>
    </row>
    <row r="252" spans="1:8" x14ac:dyDescent="0.3">
      <c r="A252">
        <v>10208</v>
      </c>
      <c r="B252" t="s">
        <v>149</v>
      </c>
      <c r="C252" t="s">
        <v>178</v>
      </c>
      <c r="D252" t="s">
        <v>188</v>
      </c>
      <c r="E252" t="s">
        <v>201</v>
      </c>
      <c r="F252">
        <v>28</v>
      </c>
      <c r="G252">
        <v>65000</v>
      </c>
      <c r="H252" t="s">
        <v>230</v>
      </c>
    </row>
    <row r="253" spans="1:8" x14ac:dyDescent="0.3">
      <c r="A253">
        <v>10106</v>
      </c>
      <c r="B253" t="s">
        <v>93</v>
      </c>
      <c r="C253" t="s">
        <v>177</v>
      </c>
      <c r="D253" t="s">
        <v>199</v>
      </c>
      <c r="E253" t="s">
        <v>200</v>
      </c>
      <c r="F253">
        <v>24</v>
      </c>
      <c r="G253">
        <v>35000</v>
      </c>
      <c r="H253" t="s">
        <v>229</v>
      </c>
    </row>
    <row r="254" spans="1:8" x14ac:dyDescent="0.3">
      <c r="A254">
        <v>10040</v>
      </c>
      <c r="B254" t="s">
        <v>44</v>
      </c>
      <c r="C254" t="s">
        <v>185</v>
      </c>
      <c r="D254" t="s">
        <v>192</v>
      </c>
      <c r="E254" t="s">
        <v>202</v>
      </c>
      <c r="F254">
        <v>27</v>
      </c>
      <c r="H254" t="s">
        <v>226</v>
      </c>
    </row>
    <row r="255" spans="1:8" x14ac:dyDescent="0.3">
      <c r="A255">
        <v>10228</v>
      </c>
      <c r="B255" t="s">
        <v>84</v>
      </c>
      <c r="C255" t="s">
        <v>173</v>
      </c>
      <c r="D255" t="s">
        <v>195</v>
      </c>
      <c r="E255" t="s">
        <v>207</v>
      </c>
      <c r="F255">
        <v>44</v>
      </c>
      <c r="G255">
        <v>65000</v>
      </c>
      <c r="H255" t="s">
        <v>227</v>
      </c>
    </row>
    <row r="256" spans="1:8" x14ac:dyDescent="0.3">
      <c r="A256">
        <v>10231</v>
      </c>
      <c r="B256" t="s">
        <v>160</v>
      </c>
      <c r="C256" t="s">
        <v>182</v>
      </c>
      <c r="D256" t="s">
        <v>191</v>
      </c>
      <c r="E256" t="s">
        <v>211</v>
      </c>
      <c r="G256">
        <v>45000</v>
      </c>
      <c r="H256" t="s">
        <v>227</v>
      </c>
    </row>
    <row r="257" spans="1:8" x14ac:dyDescent="0.3">
      <c r="A257">
        <v>10186</v>
      </c>
      <c r="B257" t="s">
        <v>140</v>
      </c>
      <c r="C257" t="s">
        <v>184</v>
      </c>
      <c r="D257" t="s">
        <v>194</v>
      </c>
      <c r="E257" t="s">
        <v>206</v>
      </c>
      <c r="F257">
        <v>36</v>
      </c>
      <c r="G257">
        <v>60000</v>
      </c>
      <c r="H257" t="s">
        <v>228</v>
      </c>
    </row>
    <row r="258" spans="1:8" x14ac:dyDescent="0.3">
      <c r="A258">
        <v>10043</v>
      </c>
      <c r="B258" t="s">
        <v>47</v>
      </c>
      <c r="C258" t="s">
        <v>182</v>
      </c>
      <c r="D258" t="s">
        <v>198</v>
      </c>
      <c r="E258" t="s">
        <v>201</v>
      </c>
      <c r="F258">
        <v>52</v>
      </c>
      <c r="G258">
        <v>50000</v>
      </c>
      <c r="H258" t="s">
        <v>227</v>
      </c>
    </row>
    <row r="259" spans="1:8" x14ac:dyDescent="0.3">
      <c r="A259">
        <v>10247</v>
      </c>
      <c r="B259" t="s">
        <v>167</v>
      </c>
      <c r="C259" t="s">
        <v>184</v>
      </c>
      <c r="D259" t="s">
        <v>195</v>
      </c>
      <c r="E259" t="s">
        <v>205</v>
      </c>
      <c r="F259">
        <v>34</v>
      </c>
      <c r="G259">
        <v>30000</v>
      </c>
      <c r="H259" t="s">
        <v>231</v>
      </c>
    </row>
    <row r="260" spans="1:8" x14ac:dyDescent="0.3">
      <c r="A260">
        <v>10134</v>
      </c>
      <c r="B260" t="s">
        <v>168</v>
      </c>
      <c r="C260" t="s">
        <v>175</v>
      </c>
      <c r="D260" t="s">
        <v>193</v>
      </c>
      <c r="E260" t="s">
        <v>208</v>
      </c>
      <c r="F260">
        <v>40</v>
      </c>
      <c r="G260" t="s">
        <v>219</v>
      </c>
      <c r="H260" t="s">
        <v>228</v>
      </c>
    </row>
    <row r="261" spans="1:8" x14ac:dyDescent="0.3">
      <c r="A261">
        <v>10208</v>
      </c>
      <c r="B261" t="s">
        <v>169</v>
      </c>
      <c r="C261" t="s">
        <v>178</v>
      </c>
      <c r="D261" t="s">
        <v>188</v>
      </c>
      <c r="E261" t="s">
        <v>201</v>
      </c>
      <c r="F261">
        <v>28</v>
      </c>
      <c r="G261">
        <v>65000</v>
      </c>
      <c r="H261" t="s">
        <v>230</v>
      </c>
    </row>
    <row r="262" spans="1:8" x14ac:dyDescent="0.3">
      <c r="A262">
        <v>10162</v>
      </c>
      <c r="B262" t="s">
        <v>170</v>
      </c>
      <c r="C262" t="s">
        <v>173</v>
      </c>
      <c r="D262" t="s">
        <v>194</v>
      </c>
      <c r="E262" t="s">
        <v>207</v>
      </c>
      <c r="F262">
        <v>22</v>
      </c>
      <c r="G262">
        <v>65000</v>
      </c>
      <c r="H262" t="s">
        <v>231</v>
      </c>
    </row>
    <row r="263" spans="1:8" x14ac:dyDescent="0.3">
      <c r="A263">
        <v>10025</v>
      </c>
      <c r="B263" t="s">
        <v>171</v>
      </c>
      <c r="C263" t="s">
        <v>185</v>
      </c>
      <c r="D263" t="s">
        <v>198</v>
      </c>
      <c r="E263" t="s">
        <v>204</v>
      </c>
      <c r="F263">
        <v>31</v>
      </c>
      <c r="H263" t="s">
        <v>224</v>
      </c>
    </row>
    <row r="264" spans="1:8" x14ac:dyDescent="0.3">
      <c r="A264">
        <v>10058</v>
      </c>
      <c r="B264" t="s">
        <v>172</v>
      </c>
      <c r="C264" t="s">
        <v>182</v>
      </c>
      <c r="D264" t="s">
        <v>196</v>
      </c>
      <c r="E264" t="s">
        <v>210</v>
      </c>
      <c r="F264">
        <v>59</v>
      </c>
      <c r="G264">
        <v>50000</v>
      </c>
      <c r="H264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dcterms:created xsi:type="dcterms:W3CDTF">2026-09-25T21:21:16Z</dcterms:created>
  <dcterms:modified xsi:type="dcterms:W3CDTF">2026-09-26T20:14:18Z</dcterms:modified>
</cp:coreProperties>
</file>